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180"/>
  </bookViews>
  <sheets>
    <sheet name="Inventario" sheetId="2" r:id="rId1"/>
  </sheets>
  <externalReferences>
    <externalReference r:id="rId2"/>
  </externalReferences>
  <definedNames>
    <definedName name="_xlnm._FilterDatabase" localSheetId="0" hidden="1">Inventario!$A$1:$AH$173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<sst xmlns="http://schemas.openxmlformats.org/spreadsheetml/2006/main" count="1001" uniqueCount="154">
  <si>
    <t>#</t>
  </si>
  <si>
    <t>Imagen</t>
  </si>
  <si>
    <t>Modelo</t>
  </si>
  <si>
    <t>Talla</t>
  </si>
  <si>
    <t>Estatus</t>
  </si>
  <si>
    <t>Revisado</t>
  </si>
  <si>
    <t>Costo original</t>
  </si>
  <si>
    <t>Precio_compra</t>
  </si>
  <si>
    <t>Precio sugerido contado</t>
  </si>
  <si>
    <t>Precio sugerido pagos</t>
  </si>
  <si>
    <t>Precio_venta</t>
  </si>
  <si>
    <t>Monto pagado</t>
  </si>
  <si>
    <t>Ganancia</t>
  </si>
  <si>
    <t>Fecha de compra</t>
  </si>
  <si>
    <t>Fecha de venta</t>
  </si>
  <si>
    <t>Fecha estimada de devolución</t>
  </si>
  <si>
    <t>Tipo de pago</t>
  </si>
  <si>
    <t>Estatus de pago</t>
  </si>
  <si>
    <t>Motivo de compra</t>
  </si>
  <si>
    <t>Fecha de apartado</t>
  </si>
  <si>
    <t>Columna 1</t>
  </si>
  <si>
    <t>Columna 2</t>
  </si>
  <si>
    <t>Columna 3</t>
  </si>
  <si>
    <t>Columna 4</t>
  </si>
  <si>
    <t>Columna 5</t>
  </si>
  <si>
    <t>Columna 6</t>
  </si>
  <si>
    <t>Columna 7</t>
  </si>
  <si>
    <t>Columna 8</t>
  </si>
  <si>
    <t>Columna 9</t>
  </si>
  <si>
    <t>Columna 10</t>
  </si>
  <si>
    <t>Columna 11</t>
  </si>
  <si>
    <t>Columna 12</t>
  </si>
  <si>
    <t>Columna 13</t>
  </si>
  <si>
    <t>Columna 14</t>
  </si>
  <si>
    <t>Botas Andrea Negro Hombre 61980 3650806</t>
  </si>
  <si>
    <t xml:space="preserve">27 </t>
  </si>
  <si>
    <t>Disponible</t>
  </si>
  <si>
    <t>Pendiente de venta</t>
  </si>
  <si>
    <t>Reventa</t>
  </si>
  <si>
    <t xml:space="preserve">27.5 </t>
  </si>
  <si>
    <t>Botas Discovery Café Hombre 85488 3599044</t>
  </si>
  <si>
    <t xml:space="preserve">29 </t>
  </si>
  <si>
    <t>Botas Discovery Café Mujer 85493 3599280</t>
  </si>
  <si>
    <t xml:space="preserve">24 </t>
  </si>
  <si>
    <t>Botas Discovery Café Mujer 9074 2426006</t>
  </si>
  <si>
    <t xml:space="preserve">24.5 </t>
  </si>
  <si>
    <t>Botas Discovery Gris Hombre 68475 3411568</t>
  </si>
  <si>
    <t>Botas Discovery Rosa Mujer 38126 2745923</t>
  </si>
  <si>
    <t>Botas Ferrato Azul Hombre 64718 2710860</t>
  </si>
  <si>
    <t>Botas Ferrato Negro Hombre 84482 3575246</t>
  </si>
  <si>
    <t xml:space="preserve">28 </t>
  </si>
  <si>
    <t>Botas Ferrato Negro Hombre 89732 2976625</t>
  </si>
  <si>
    <t xml:space="preserve">26 </t>
  </si>
  <si>
    <t xml:space="preserve">26.5 </t>
  </si>
  <si>
    <t>Botas Jeep Café Hombre 34610 2703701</t>
  </si>
  <si>
    <t>Botas Jeep Café Hombre 85495 3599440</t>
  </si>
  <si>
    <t xml:space="preserve">30 </t>
  </si>
  <si>
    <t>Botas SwissBrand Azul Marino Hombre 36422 2702964</t>
  </si>
  <si>
    <t>Botas SwissBrand Café Hombre 19061 2623788</t>
  </si>
  <si>
    <t xml:space="preserve">28.5 </t>
  </si>
  <si>
    <t xml:space="preserve">29.5 </t>
  </si>
  <si>
    <t>Botas SwissBrand Café Hombre 560 2528021</t>
  </si>
  <si>
    <t>Botas Discovery Azul Hombre 83018 3008829</t>
  </si>
  <si>
    <t xml:space="preserve">25 </t>
  </si>
  <si>
    <t>Botas SwissBrand Miel Hombre 89936 3001202</t>
  </si>
  <si>
    <t xml:space="preserve">23 </t>
  </si>
  <si>
    <t>Tennis Adidas Azul Mujer 68600 3424728</t>
  </si>
  <si>
    <t>Tennis Adidas Beige Hombre 66534 3771105</t>
  </si>
  <si>
    <t>Tennis Adidas Beige Mujer 86737 3656167</t>
  </si>
  <si>
    <t>Tennis Adidas Blanco Mujer 86737 3614020</t>
  </si>
  <si>
    <t>Tennis Adidas Coral Mujer 86738 3614105</t>
  </si>
  <si>
    <t>Tennis Adidas Negro Mujer 92480 3774861</t>
  </si>
  <si>
    <t>Tennis Adidas Rosa Mujer 86988 3614167</t>
  </si>
  <si>
    <t>Tennis Adidas Verde Hombre 86586 3771464</t>
  </si>
  <si>
    <t>Tennis Champion Negro Mujer 53823 3224540</t>
  </si>
  <si>
    <t>Tennis K-Swiss Beige Mujer 55837 3671580</t>
  </si>
  <si>
    <t>Pagos</t>
  </si>
  <si>
    <t>Pagado parcialmente</t>
  </si>
  <si>
    <t>Tennis K-Swiss Blanco Mujer 52760 3305263</t>
  </si>
  <si>
    <t>Tennis Nike Rosa Mujer 57947 3080764</t>
  </si>
  <si>
    <t>Tennis Pirma Lila Mujer 36027 3274903</t>
  </si>
  <si>
    <t>Tennis Puma Azul Hombre 66530 3338001</t>
  </si>
  <si>
    <t>Tennis Puma Azul Hombre 68640 3616161</t>
  </si>
  <si>
    <t>Tennis Puma Azul Hombre 87157 3615522</t>
  </si>
  <si>
    <t>Tennis Puma Beige Hombre 43642 3726068</t>
  </si>
  <si>
    <t>Tennis Puma Blanco Hombre 39469 2752426</t>
  </si>
  <si>
    <t>Tennis Puma Blanco Hombre 43643 3726280</t>
  </si>
  <si>
    <t>Tennis Puma Blanco Hombre 43642 3726044</t>
  </si>
  <si>
    <t>Tennis Puma Blanco Hombre 66321 3616208</t>
  </si>
  <si>
    <t>Tennis Puma Blanco Hombre 84230 3615706</t>
  </si>
  <si>
    <t>Tennis Puma Blanco Mujer 43676 3730485</t>
  </si>
  <si>
    <t>Tennis Puma Blanco Mujer 50022 3776629</t>
  </si>
  <si>
    <t>Tennis Puma Blanco Mujer 55725 3671405</t>
  </si>
  <si>
    <t>Tennis Puma Blanco Mujer 68649 3425640</t>
  </si>
  <si>
    <t>Tennis Puma Lila Mujer 34856 3003886</t>
  </si>
  <si>
    <t>Tennis Puma Negro Hombre 54186 3337806</t>
  </si>
  <si>
    <t>Tennis Puma Negro Hombre 66529 3328606</t>
  </si>
  <si>
    <t>Tennis Puma Negro Hombre 66530 3328620</t>
  </si>
  <si>
    <t>Tennis Puma Negro Hombre 66532 3328705</t>
  </si>
  <si>
    <t>Tennis Puma Gris Hombre 66532 3338063</t>
  </si>
  <si>
    <t>Tennis Puma Negro Hombre 87184 3616666</t>
  </si>
  <si>
    <t>Tennis Puma Negro Mujer 43680 3730867</t>
  </si>
  <si>
    <t>Tennis Puma Negro Mujer 66327 3308509</t>
  </si>
  <si>
    <t>Tennis Puma Negro Mujer 66528 3328507</t>
  </si>
  <si>
    <t>Tennis Puma Rojo Hombre 68641 3616321</t>
  </si>
  <si>
    <t>Tennis Puma Rojo Hombre 84240 3616741</t>
  </si>
  <si>
    <t>Tennis Puma Verde Hombre 84230 3615621</t>
  </si>
  <si>
    <t>Tennis Puma Verde Hombre 87157 3615447</t>
  </si>
  <si>
    <t>Tennis Puma Verde Hombre 87177 3667149</t>
  </si>
  <si>
    <t>Tennis Reebok Blanco Hombre 68850 3614822</t>
  </si>
  <si>
    <t>Tennis Reebok Blanco Hombre 68851 3665060</t>
  </si>
  <si>
    <t>Tennis Reebok Blanco Hombre 68853 3421925</t>
  </si>
  <si>
    <t>Tennis Reebok Blanco Mujer 66357 3314807</t>
  </si>
  <si>
    <t>Tennis Reebok Lila Mujer 56658 3713983</t>
  </si>
  <si>
    <t>Tennis Reebok Lila Mujer 59072 3733561</t>
  </si>
  <si>
    <t>Tennis Reebok Rosa Mujer 87188 3617601</t>
  </si>
  <si>
    <t>Tennis Reebok Verde Hombre 59063 3733141</t>
  </si>
  <si>
    <t>Tennis Sketchers Gris Hombre 66608 3332207</t>
  </si>
  <si>
    <t>Tennis Adidas Blanco Unisex 66335 3610084</t>
  </si>
  <si>
    <t>Tennis Sketchers Vino Mujer 66602 3362747</t>
  </si>
  <si>
    <t>Tennis Adidas Blanco Hombre 66929 3340325</t>
  </si>
  <si>
    <t>Tennis Vans Blanco Mujer 52912 3420164</t>
  </si>
  <si>
    <t>Tennis Vans Gris Mujer 52912 3336106</t>
  </si>
  <si>
    <t>Tennis Vans Rosa Mujer 62691 3258880</t>
  </si>
  <si>
    <t>Tennis Vans Negro Mujer 58556 3729243</t>
  </si>
  <si>
    <t>Tennis Adidas Rosa Mujer 66336 3558720</t>
  </si>
  <si>
    <t>Tennis Vans Rosa Mujer 62691 3613948</t>
  </si>
  <si>
    <t>Tennis Vans Rosa Mujer 66711 3336144</t>
  </si>
  <si>
    <t>Tennis Adidas Blanco Unisex 68592 3419502</t>
  </si>
  <si>
    <t>Tennis Lacoste Azul Navy Unisex 92796 3842041</t>
  </si>
  <si>
    <t>Tennis Lacoste Azul cielo Hombre 82901 3842300</t>
  </si>
  <si>
    <t>Tennis Pirma Rosa Mujer 92879 3842584</t>
  </si>
  <si>
    <t>Pendiente</t>
  </si>
  <si>
    <t>Tennis Pirma Negro Mujer 92880 3842607</t>
  </si>
  <si>
    <t>Tennis Under Armor Verde Hombre 65944 3333501</t>
  </si>
  <si>
    <t>Tennis Vans Negro Hombre 92756 3837948</t>
  </si>
  <si>
    <t>Tennis Under Armor Negro Hombre 87745 3845509</t>
  </si>
  <si>
    <t>Tennis Lacoste Azul cielo Hombre 56584 3692080</t>
  </si>
  <si>
    <t>Tennis Nike Azul cielo Hombre 92711 3835005</t>
  </si>
  <si>
    <t>Tennis Nike Blanco Hombre 92710 3834985</t>
  </si>
  <si>
    <t>Tennis CAT Beige Hombre 94948 3855843</t>
  </si>
  <si>
    <t xml:space="preserve"> </t>
  </si>
  <si>
    <t>Botas CAT Verde Hombre 94948 3855843</t>
  </si>
  <si>
    <t>Tennis K-Swiss Negro Hombre 52756 3433843</t>
  </si>
  <si>
    <t>Tennis Under Armor Verde Mujer 94557 3877647</t>
  </si>
  <si>
    <t>Tennis Adidas Rosa Mujer 86737 3835869</t>
  </si>
  <si>
    <t>Tennis Puma Negro Unisex 43670 3776643</t>
  </si>
  <si>
    <t>Tennis Under Armor Morado Mujer 68665 3841303</t>
  </si>
  <si>
    <t>Tennis Puma Negro Mujer 43683 3839249</t>
  </si>
  <si>
    <t>Tennis Adidas Azul Mujer 86737 3721926</t>
  </si>
  <si>
    <t>Tennis Vans Verde Mujer 92757 3837962</t>
  </si>
  <si>
    <t>Tennis Puma Blanco Mujer 43680 3859223</t>
  </si>
  <si>
    <t>Tennis Vans Multicolor Mujer 52912 3258804</t>
  </si>
  <si>
    <t>Tennis Reebok Negro Mujer 94959 3855416</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</si>
</sst>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_);[Red]\(0.0\)"/>
    <numFmt numFmtId="179" formatCode="&quot;$&quot;#,##0.00"/>
    <numFmt numFmtId="180" formatCode="d&quot; &quot;mmmm&quot;, &quot;yyyy"/>
    <numFmt numFmtId="181" formatCode="0_ "/>
    <numFmt numFmtId="182" formatCode="&quot; &quot;mmmm&quot;, &quot;yyyy"/>
  </numFmts>
  <fonts count="25">
    <font>
      <sz val="11"/>
      <color theme="1"/>
      <name val="Calibri"/>
      <charset val="134"/>
      <scheme val="minor"/>
    </font>
    <font>
      <sz val="10"/>
      <color rgb="FF000000"/>
      <name val="Calibri"/>
      <charset val="134"/>
      <scheme val="minor"/>
    </font>
    <font>
      <b/>
      <sz val="11"/>
      <color theme="1"/>
      <name val="Calibri"/>
      <charset val="134"/>
      <scheme val="minor"/>
    </font>
    <font>
      <sz val="10"/>
      <color theme="1"/>
      <name val="Calibri"/>
      <charset val="134"/>
      <scheme val="minor"/>
    </font>
    <font>
      <sz val="10"/>
      <color rgb="FF434343"/>
      <name val="Roboto"/>
      <charset val="134"/>
    </font>
    <font>
      <sz val="10"/>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B7E1CD"/>
        <bgColor rgb="FFB7E1CD"/>
      </patternFill>
    </fill>
    <fill>
      <patternFill patternType="solid">
        <fgColor rgb="FFF6F8F9"/>
        <bgColor rgb="FFF6F8F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B7E1CD"/>
      </left>
      <right style="thin">
        <color rgb="FFB7E1CD"/>
      </right>
      <top style="thin">
        <color rgb="FFB7E1CD"/>
      </top>
      <bottom style="thin">
        <color rgb="FFB7E1CD"/>
      </bottom>
      <diagonal/>
    </border>
    <border>
      <left style="thin">
        <color rgb="FFF6F8F9"/>
      </left>
      <right style="thin">
        <color rgb="FF284E3F"/>
      </right>
      <top style="thin">
        <color rgb="FFF6F8F9"/>
      </top>
      <bottom style="thin">
        <color rgb="FFF6F8F9"/>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6" borderId="8"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9" applyNumberFormat="0" applyFill="0" applyAlignment="0" applyProtection="0">
      <alignment vertical="center"/>
    </xf>
    <xf numFmtId="0" fontId="12" fillId="0" borderId="9" applyNumberFormat="0" applyFill="0" applyAlignment="0" applyProtection="0">
      <alignment vertical="center"/>
    </xf>
    <xf numFmtId="0" fontId="13" fillId="0" borderId="10" applyNumberFormat="0" applyFill="0" applyAlignment="0" applyProtection="0">
      <alignment vertical="center"/>
    </xf>
    <xf numFmtId="0" fontId="13" fillId="0" borderId="0" applyNumberFormat="0" applyFill="0" applyBorder="0" applyAlignment="0" applyProtection="0">
      <alignment vertical="center"/>
    </xf>
    <xf numFmtId="0" fontId="14" fillId="7" borderId="11" applyNumberFormat="0" applyAlignment="0" applyProtection="0">
      <alignment vertical="center"/>
    </xf>
    <xf numFmtId="0" fontId="15" fillId="8" borderId="12" applyNumberFormat="0" applyAlignment="0" applyProtection="0">
      <alignment vertical="center"/>
    </xf>
    <xf numFmtId="0" fontId="16" fillId="8" borderId="11" applyNumberFormat="0" applyAlignment="0" applyProtection="0">
      <alignment vertical="center"/>
    </xf>
    <xf numFmtId="0" fontId="17" fillId="9" borderId="13" applyNumberFormat="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3" fillId="36" borderId="0" applyNumberFormat="0" applyBorder="0" applyAlignment="0" applyProtection="0">
      <alignment vertical="center"/>
    </xf>
  </cellStyleXfs>
  <cellXfs count="79">
    <xf numFmtId="0" fontId="0" fillId="0" borderId="0" xfId="0">
      <alignment vertical="center"/>
    </xf>
    <xf numFmtId="0" fontId="1" fillId="0" borderId="0" xfId="0" applyFont="1" applyFill="1" applyAlignment="1"/>
    <xf numFmtId="178" fontId="1" fillId="0" borderId="0" xfId="0" applyNumberFormat="1" applyFont="1" applyFill="1" applyAlignment="1"/>
    <xf numFmtId="0" fontId="2" fillId="0" borderId="0" xfId="0" applyFont="1" applyFill="1" applyAlignment="1">
      <alignment horizontal="center" vertical="center" wrapText="1"/>
    </xf>
    <xf numFmtId="49" fontId="2" fillId="0" borderId="0" xfId="0" applyNumberFormat="1" applyFont="1" applyFill="1" applyAlignment="1">
      <alignment horizontal="center" vertical="center" wrapText="1"/>
    </xf>
    <xf numFmtId="178" fontId="2" fillId="0" borderId="0" xfId="0" applyNumberFormat="1" applyFont="1" applyFill="1" applyAlignment="1">
      <alignment horizontal="center" vertical="center" wrapText="1"/>
    </xf>
    <xf numFmtId="179" fontId="2" fillId="0" borderId="0" xfId="0" applyNumberFormat="1" applyFont="1" applyFill="1" applyAlignment="1">
      <alignment horizontal="center" vertical="center" wrapText="1"/>
    </xf>
    <xf numFmtId="180" fontId="2" fillId="0" borderId="0" xfId="0" applyNumberFormat="1" applyFont="1" applyFill="1" applyAlignment="1">
      <alignment horizontal="center" vertical="center" wrapText="1"/>
    </xf>
    <xf numFmtId="0" fontId="3" fillId="0" borderId="0" xfId="0" applyFont="1" applyFill="1" applyAlignment="1">
      <alignment horizontal="left" vertical="center" wrapText="1"/>
    </xf>
    <xf numFmtId="0" fontId="3" fillId="0" borderId="0" xfId="0" applyFont="1" applyFill="1" applyAlignment="1">
      <alignment horizontal="center" vertical="center"/>
    </xf>
    <xf numFmtId="0" fontId="3" fillId="0" borderId="0" xfId="0" applyFont="1" applyFill="1" applyAlignment="1">
      <alignment vertical="center"/>
    </xf>
    <xf numFmtId="181" fontId="3" fillId="0" borderId="0" xfId="0" applyNumberFormat="1" applyFont="1" applyFill="1" applyAlignment="1">
      <alignment vertical="center"/>
    </xf>
    <xf numFmtId="179" fontId="3" fillId="0" borderId="0" xfId="0" applyNumberFormat="1" applyFont="1" applyFill="1" applyAlignment="1">
      <alignment vertical="center"/>
    </xf>
    <xf numFmtId="182" fontId="3" fillId="0" borderId="0" xfId="0" applyNumberFormat="1" applyFont="1" applyFill="1" applyAlignment="1">
      <alignment vertical="center"/>
    </xf>
    <xf numFmtId="0" fontId="3" fillId="0" borderId="0" xfId="0" applyFont="1" applyFill="1" applyAlignment="1">
      <alignment vertical="center" wrapText="1"/>
    </xf>
    <xf numFmtId="180" fontId="3" fillId="0" borderId="0" xfId="0" applyNumberFormat="1" applyFont="1" applyFill="1" applyAlignment="1">
      <alignment vertical="center"/>
    </xf>
    <xf numFmtId="178" fontId="3" fillId="0" borderId="0" xfId="0" applyNumberFormat="1" applyFont="1" applyFill="1" applyAlignment="1">
      <alignment vertical="center"/>
    </xf>
    <xf numFmtId="0" fontId="3" fillId="0" borderId="1" xfId="0" applyFont="1" applyFill="1" applyBorder="1" applyAlignment="1">
      <alignment vertical="center"/>
    </xf>
    <xf numFmtId="0" fontId="3" fillId="0" borderId="2" xfId="0" applyFont="1" applyFill="1" applyBorder="1" applyAlignment="1">
      <alignment vertical="center"/>
    </xf>
    <xf numFmtId="181" fontId="3" fillId="0" borderId="2" xfId="0" applyNumberFormat="1" applyFont="1" applyFill="1" applyBorder="1" applyAlignment="1">
      <alignment vertical="center"/>
    </xf>
    <xf numFmtId="0" fontId="3" fillId="0" borderId="3" xfId="0" applyFont="1" applyFill="1" applyBorder="1" applyAlignment="1">
      <alignment vertical="center"/>
    </xf>
    <xf numFmtId="179" fontId="3" fillId="0" borderId="2" xfId="0" applyNumberFormat="1" applyFont="1" applyFill="1" applyBorder="1" applyAlignment="1">
      <alignment vertical="center"/>
    </xf>
    <xf numFmtId="182" fontId="3" fillId="0" borderId="2" xfId="0" applyNumberFormat="1" applyFont="1" applyFill="1" applyBorder="1" applyAlignment="1">
      <alignment vertical="center"/>
    </xf>
    <xf numFmtId="0" fontId="3" fillId="0" borderId="2" xfId="0" applyFont="1" applyFill="1" applyBorder="1" applyAlignment="1">
      <alignment vertical="center" wrapText="1"/>
    </xf>
    <xf numFmtId="0" fontId="3" fillId="0" borderId="4" xfId="0" applyFont="1" applyFill="1" applyBorder="1" applyAlignment="1">
      <alignment vertical="center"/>
    </xf>
    <xf numFmtId="0" fontId="3" fillId="0" borderId="5" xfId="0" applyFont="1" applyFill="1" applyBorder="1" applyAlignment="1">
      <alignment horizontal="center" vertical="center"/>
    </xf>
    <xf numFmtId="0" fontId="3" fillId="0" borderId="6" xfId="0" applyFont="1" applyFill="1" applyBorder="1" applyAlignment="1">
      <alignment vertical="center"/>
    </xf>
    <xf numFmtId="181" fontId="3" fillId="0" borderId="6" xfId="0" applyNumberFormat="1" applyFont="1" applyFill="1" applyBorder="1" applyAlignment="1">
      <alignment vertical="center"/>
    </xf>
    <xf numFmtId="179" fontId="3" fillId="0" borderId="6" xfId="0" applyNumberFormat="1" applyFont="1" applyFill="1" applyBorder="1" applyAlignment="1">
      <alignment vertical="center"/>
    </xf>
    <xf numFmtId="182" fontId="3" fillId="0" borderId="6" xfId="0" applyNumberFormat="1" applyFont="1" applyFill="1" applyBorder="1" applyAlignment="1">
      <alignment vertical="center"/>
    </xf>
    <xf numFmtId="0" fontId="3" fillId="0" borderId="6" xfId="0" applyFont="1" applyFill="1" applyBorder="1" applyAlignment="1">
      <alignment vertical="center" wrapText="1"/>
    </xf>
    <xf numFmtId="180" fontId="3" fillId="0" borderId="7" xfId="0" applyNumberFormat="1" applyFont="1" applyFill="1" applyBorder="1" applyAlignment="1">
      <alignment vertical="center"/>
    </xf>
    <xf numFmtId="0" fontId="3" fillId="2" borderId="0" xfId="0" applyFont="1" applyFill="1" applyAlignment="1">
      <alignment horizontal="center" vertical="center"/>
    </xf>
    <xf numFmtId="0" fontId="4" fillId="3" borderId="0" xfId="0" applyFont="1" applyFill="1" applyAlignment="1">
      <alignment horizontal="center" vertical="center"/>
    </xf>
    <xf numFmtId="0" fontId="5" fillId="3" borderId="0" xfId="0" applyFont="1" applyFill="1" applyAlignment="1">
      <alignment vertical="center"/>
    </xf>
    <xf numFmtId="0" fontId="4" fillId="3" borderId="0" xfId="0" applyFont="1" applyFill="1" applyAlignment="1">
      <alignment vertical="center"/>
    </xf>
    <xf numFmtId="181" fontId="4" fillId="3" borderId="0" xfId="0" applyNumberFormat="1" applyFont="1" applyFill="1" applyAlignment="1">
      <alignment horizontal="right" vertical="center"/>
    </xf>
    <xf numFmtId="0" fontId="4" fillId="4" borderId="0" xfId="0" applyFont="1" applyFill="1" applyAlignment="1">
      <alignment vertical="center"/>
    </xf>
    <xf numFmtId="179" fontId="4" fillId="3" borderId="0" xfId="0" applyNumberFormat="1" applyFont="1" applyFill="1" applyAlignment="1">
      <alignment horizontal="right" vertical="center"/>
    </xf>
    <xf numFmtId="182" fontId="4" fillId="3" borderId="0" xfId="0" applyNumberFormat="1" applyFont="1" applyFill="1" applyAlignment="1">
      <alignment horizontal="right" vertical="center"/>
    </xf>
    <xf numFmtId="0" fontId="4" fillId="3" borderId="0" xfId="0" applyFont="1" applyFill="1" applyAlignment="1">
      <alignment vertical="center" wrapText="1"/>
    </xf>
    <xf numFmtId="180" fontId="5" fillId="3" borderId="0" xfId="0" applyNumberFormat="1" applyFont="1" applyFill="1" applyAlignment="1">
      <alignment vertical="center"/>
    </xf>
    <xf numFmtId="0" fontId="4" fillId="5" borderId="0" xfId="0" applyFont="1" applyFill="1" applyAlignment="1">
      <alignment horizontal="center" vertical="center"/>
    </xf>
    <xf numFmtId="0" fontId="4" fillId="5" borderId="0" xfId="0" applyFont="1" applyFill="1" applyAlignment="1">
      <alignment vertical="center"/>
    </xf>
    <xf numFmtId="181" fontId="4" fillId="5" borderId="0" xfId="0" applyNumberFormat="1" applyFont="1" applyFill="1" applyAlignment="1">
      <alignment horizontal="right" vertical="center"/>
    </xf>
    <xf numFmtId="179" fontId="4" fillId="5" borderId="0" xfId="0" applyNumberFormat="1" applyFont="1" applyFill="1" applyAlignment="1">
      <alignment horizontal="right" vertical="center"/>
    </xf>
    <xf numFmtId="179" fontId="5" fillId="5" borderId="0" xfId="0" applyNumberFormat="1" applyFont="1" applyFill="1" applyAlignment="1">
      <alignment vertical="center"/>
    </xf>
    <xf numFmtId="182" fontId="4" fillId="5" borderId="0" xfId="0" applyNumberFormat="1" applyFont="1" applyFill="1" applyAlignment="1">
      <alignment vertical="center"/>
    </xf>
    <xf numFmtId="0" fontId="5" fillId="5" borderId="0" xfId="0" applyFont="1" applyFill="1" applyAlignment="1">
      <alignment vertical="center"/>
    </xf>
    <xf numFmtId="180" fontId="4" fillId="5" borderId="0" xfId="0" applyNumberFormat="1" applyFont="1" applyFill="1" applyAlignment="1">
      <alignment horizontal="right" vertical="center"/>
    </xf>
    <xf numFmtId="0" fontId="4" fillId="5" borderId="0" xfId="0" applyFont="1" applyFill="1" applyAlignment="1">
      <alignment vertical="center" wrapText="1"/>
    </xf>
    <xf numFmtId="0" fontId="5" fillId="5" borderId="1" xfId="0" applyFont="1" applyFill="1" applyBorder="1" applyAlignment="1">
      <alignment vertical="center"/>
    </xf>
    <xf numFmtId="0" fontId="5" fillId="5" borderId="2" xfId="0" applyFont="1" applyFill="1" applyBorder="1" applyAlignment="1">
      <alignment vertical="center"/>
    </xf>
    <xf numFmtId="0" fontId="4" fillId="5" borderId="2" xfId="0" applyFont="1" applyFill="1" applyBorder="1" applyAlignment="1">
      <alignment vertical="center"/>
    </xf>
    <xf numFmtId="181" fontId="4" fillId="5" borderId="2" xfId="0" applyNumberFormat="1" applyFont="1" applyFill="1" applyBorder="1" applyAlignment="1">
      <alignment horizontal="right" vertical="center"/>
    </xf>
    <xf numFmtId="0" fontId="4" fillId="4" borderId="3" xfId="0" applyFont="1" applyFill="1" applyBorder="1" applyAlignment="1">
      <alignment vertical="center"/>
    </xf>
    <xf numFmtId="179" fontId="4" fillId="5" borderId="2" xfId="0" applyNumberFormat="1" applyFont="1" applyFill="1" applyBorder="1" applyAlignment="1">
      <alignment horizontal="right" vertical="center"/>
    </xf>
    <xf numFmtId="179" fontId="5" fillId="5" borderId="2" xfId="0" applyNumberFormat="1" applyFont="1" applyFill="1" applyBorder="1" applyAlignment="1">
      <alignment vertical="center"/>
    </xf>
    <xf numFmtId="182" fontId="5" fillId="5" borderId="2" xfId="0" applyNumberFormat="1" applyFont="1" applyFill="1" applyBorder="1" applyAlignment="1">
      <alignment vertical="center"/>
    </xf>
    <xf numFmtId="182" fontId="4" fillId="5" borderId="2" xfId="0" applyNumberFormat="1" applyFont="1" applyFill="1" applyBorder="1" applyAlignment="1">
      <alignment horizontal="right" vertical="center"/>
    </xf>
    <xf numFmtId="180" fontId="5" fillId="5" borderId="2" xfId="0" applyNumberFormat="1" applyFont="1" applyFill="1" applyBorder="1" applyAlignment="1">
      <alignment vertical="center"/>
    </xf>
    <xf numFmtId="0" fontId="5" fillId="5" borderId="4" xfId="0" applyFont="1" applyFill="1" applyBorder="1" applyAlignment="1">
      <alignment vertical="center"/>
    </xf>
    <xf numFmtId="0" fontId="5" fillId="3" borderId="5" xfId="0" applyFont="1" applyFill="1" applyBorder="1" applyAlignment="1">
      <alignment vertical="center"/>
    </xf>
    <xf numFmtId="0" fontId="5" fillId="3" borderId="6" xfId="0" applyFont="1" applyFill="1" applyBorder="1" applyAlignment="1">
      <alignment vertical="center"/>
    </xf>
    <xf numFmtId="0" fontId="4" fillId="3" borderId="6" xfId="0" applyFont="1" applyFill="1" applyBorder="1" applyAlignment="1">
      <alignment vertical="center"/>
    </xf>
    <xf numFmtId="181" fontId="4" fillId="3" borderId="6" xfId="0" applyNumberFormat="1" applyFont="1" applyFill="1" applyBorder="1" applyAlignment="1">
      <alignment horizontal="right" vertical="center"/>
    </xf>
    <xf numFmtId="179" fontId="4" fillId="3" borderId="6" xfId="0" applyNumberFormat="1" applyFont="1" applyFill="1" applyBorder="1" applyAlignment="1">
      <alignment horizontal="right" vertical="center"/>
    </xf>
    <xf numFmtId="182" fontId="4" fillId="3" borderId="6" xfId="0" applyNumberFormat="1" applyFont="1" applyFill="1" applyBorder="1" applyAlignment="1">
      <alignment horizontal="right" vertical="center"/>
    </xf>
    <xf numFmtId="0" fontId="4" fillId="3" borderId="6" xfId="0" applyFont="1" applyFill="1" applyBorder="1" applyAlignment="1">
      <alignment vertical="center" wrapText="1"/>
    </xf>
    <xf numFmtId="180" fontId="5" fillId="3" borderId="6" xfId="0" applyNumberFormat="1" applyFont="1" applyFill="1" applyBorder="1" applyAlignment="1">
      <alignment vertical="center"/>
    </xf>
    <xf numFmtId="0" fontId="5" fillId="3" borderId="7" xfId="0" applyFont="1" applyFill="1" applyBorder="1" applyAlignment="1">
      <alignment vertical="center"/>
    </xf>
    <xf numFmtId="178" fontId="4" fillId="3" borderId="6" xfId="0" applyNumberFormat="1" applyFont="1" applyFill="1" applyBorder="1" applyAlignment="1">
      <alignment horizontal="right" vertical="center"/>
    </xf>
    <xf numFmtId="179" fontId="4" fillId="5" borderId="6" xfId="0" applyNumberFormat="1" applyFont="1" applyFill="1" applyBorder="1" applyAlignment="1">
      <alignment horizontal="right" vertical="center"/>
    </xf>
    <xf numFmtId="182" fontId="5" fillId="5" borderId="0" xfId="0" applyNumberFormat="1" applyFont="1" applyFill="1" applyAlignment="1">
      <alignment vertical="center"/>
    </xf>
    <xf numFmtId="180" fontId="5" fillId="5" borderId="0" xfId="0" applyNumberFormat="1" applyFont="1" applyFill="1" applyAlignment="1">
      <alignment vertical="center"/>
    </xf>
    <xf numFmtId="0" fontId="3" fillId="0" borderId="0" xfId="0" applyFont="1" applyFill="1" applyAlignment="1">
      <alignment horizontal="center"/>
    </xf>
    <xf numFmtId="179" fontId="3" fillId="0" borderId="0" xfId="0" applyNumberFormat="1" applyFont="1" applyFill="1" applyAlignment="1"/>
    <xf numFmtId="180" fontId="3" fillId="0" borderId="0" xfId="0" applyNumberFormat="1" applyFont="1" applyFill="1" applyAlignment="1"/>
    <xf numFmtId="0" fontId="3" fillId="0" borderId="0" xfId="0" applyFont="1" applyFill="1" applyAlignment="1">
      <alignment wrapText="1"/>
    </xf>
    <xf numFmtId="181" fontId="3" fillId="0" borderId="0" xfId="0" applyNumberFormat="1" applyFont="1" applyFill="1" applyAlignment="1" quotePrefix="1">
      <alignment vertical="center"/>
    </xf>
    <xf numFmtId="178" fontId="3" fillId="0" borderId="0" xfId="0" applyNumberFormat="1" applyFont="1" applyFill="1" applyAlignment="1" quotePrefix="1">
      <alignment vertical="center"/>
    </xf>
    <xf numFmtId="181" fontId="3" fillId="0" borderId="2" xfId="0" applyNumberFormat="1" applyFont="1" applyFill="1" applyBorder="1" applyAlignment="1" quotePrefix="1">
      <alignment vertical="center"/>
    </xf>
    <xf numFmtId="181" fontId="3" fillId="0" borderId="6" xfId="0" applyNumberFormat="1" applyFont="1" applyFill="1" applyBorder="1" applyAlignment="1" quotePrefix="1">
      <alignment vertical="center"/>
    </xf>
    <xf numFmtId="181" fontId="4" fillId="3" borderId="0" xfId="0" applyNumberFormat="1" applyFont="1" applyFill="1" applyAlignment="1" quotePrefix="1">
      <alignment horizontal="right" vertical="center"/>
    </xf>
    <xf numFmtId="181" fontId="4" fillId="5" borderId="0" xfId="0" applyNumberFormat="1" applyFont="1" applyFill="1" applyAlignment="1" quotePrefix="1">
      <alignment horizontal="right" vertical="center"/>
    </xf>
    <xf numFmtId="181" fontId="4" fillId="5" borderId="2" xfId="0" applyNumberFormat="1" applyFont="1" applyFill="1" applyBorder="1" applyAlignment="1" quotePrefix="1">
      <alignment horizontal="right" vertical="center"/>
    </xf>
    <xf numFmtId="181" fontId="4" fillId="3" borderId="6" xfId="0" applyNumberFormat="1" applyFont="1" applyFill="1" applyBorder="1" applyAlignment="1" quotePrefix="1">
      <alignment horizontal="right" vertical="center"/>
    </xf>
    <xf numFmtId="178" fontId="4" fillId="3" borderId="6" xfId="0" applyNumberFormat="1" applyFont="1" applyFill="1" applyBorder="1" applyAlignment="1" quotePrefix="1">
      <alignment horizontal="right" vertical="center"/>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25">
    <dxf>
      <numFmt numFmtId="178" formatCode="0.0_);[Red]\(0.0\)"/>
    </dxf>
    <dxf>
      <fill>
        <patternFill patternType="solid">
          <fgColor rgb="FFB7E1CD"/>
          <bgColor rgb="FFB7E1CD"/>
        </patternFill>
      </fill>
    </dxf>
    <dxf>
      <fill>
        <patternFill patternType="solid">
          <fgColor rgb="FFFFE599"/>
          <bgColor rgb="FFFFE599"/>
        </patternFill>
      </fill>
    </dxf>
    <dxf>
      <fill>
        <patternFill patternType="solid">
          <fgColor rgb="FFFF0000"/>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Inventario-style" pivot="0" count="4" xr9:uid="{665756FA-B634-45B6-A1D1-AD95BCAC13D1}">
      <tableStyleElement type="wholeTable" dxfId="14"/>
      <tableStyleElement type="headerRow" dxfId="13"/>
      <tableStyleElement type="firstRowStripe" dxfId="12"/>
      <tableStyleElement type="secondRowStripe" dxfId="11"/>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18</xdr:row>
      <xdr:rowOff>0</xdr:rowOff>
    </xdr:from>
    <xdr:ext cx="600075" cy="447675"/>
    <xdr:pic>
      <xdr:nvPicPr>
        <xdr:cNvPr id="2" name="image1.png"/>
        <xdr:cNvPicPr preferRelativeResize="0"/>
      </xdr:nvPicPr>
      <xdr:blipFill>
        <a:blip r:embed="rId1" cstate="print"/>
        <a:stretch>
          <a:fillRect/>
        </a:stretch>
      </xdr:blipFill>
      <xdr:spPr>
        <a:xfrm>
          <a:off x="0" y="5210175"/>
          <a:ext cx="600075" cy="447675"/>
        </a:xfrm>
        <a:prstGeom prst="rect">
          <a:avLst/>
        </a:prstGeom>
        <a:noFill/>
      </xdr:spPr>
    </xdr:pic>
    <xdr:clientData fLocksWithSheet="0"/>
  </xdr:oneCellAnchor>
  <xdr:oneCellAnchor>
    <xdr:from>
      <xdr:col>1</xdr:col>
      <xdr:colOff>0</xdr:colOff>
      <xdr:row>54</xdr:row>
      <xdr:rowOff>0</xdr:rowOff>
    </xdr:from>
    <xdr:ext cx="685800" cy="447675"/>
    <xdr:pic>
      <xdr:nvPicPr>
        <xdr:cNvPr id="3" name="image2.png"/>
        <xdr:cNvPicPr preferRelativeResize="0"/>
      </xdr:nvPicPr>
      <xdr:blipFill>
        <a:blip r:embed="rId2" cstate="print"/>
        <a:stretch>
          <a:fillRect/>
        </a:stretch>
      </xdr:blipFill>
      <xdr:spPr>
        <a:xfrm>
          <a:off x="0" y="19535775"/>
          <a:ext cx="685800" cy="447675"/>
        </a:xfrm>
        <a:prstGeom prst="rect">
          <a:avLst/>
        </a:prstGeom>
        <a:noFill/>
      </xdr:spPr>
    </xdr:pic>
    <xdr:clientData fLocksWithSheet="0"/>
  </xdr:oneCellAnchor>
  <xdr:oneCellAnchor>
    <xdr:from>
      <xdr:col>1</xdr:col>
      <xdr:colOff>0</xdr:colOff>
      <xdr:row>54</xdr:row>
      <xdr:rowOff>0</xdr:rowOff>
    </xdr:from>
    <xdr:ext cx="685800" cy="447675"/>
    <xdr:pic>
      <xdr:nvPicPr>
        <xdr:cNvPr id="4" name="image2.png"/>
        <xdr:cNvPicPr preferRelativeResize="0"/>
      </xdr:nvPicPr>
      <xdr:blipFill>
        <a:blip r:embed="rId2" cstate="print"/>
        <a:stretch>
          <a:fillRect/>
        </a:stretch>
      </xdr:blipFill>
      <xdr:spPr>
        <a:xfrm>
          <a:off x="0" y="19535775"/>
          <a:ext cx="685800" cy="447675"/>
        </a:xfrm>
        <a:prstGeom prst="rect">
          <a:avLst/>
        </a:prstGeom>
        <a:noFill/>
      </xdr:spPr>
    </xdr:pic>
    <xdr:clientData fLocksWithSheet="0"/>
  </xdr:oneCellAnchor>
  <xdr:oneCellAnchor>
    <xdr:from>
      <xdr:col>1</xdr:col>
      <xdr:colOff>0</xdr:colOff>
      <xdr:row>55</xdr:row>
      <xdr:rowOff>0</xdr:rowOff>
    </xdr:from>
    <xdr:ext cx="685800" cy="447675"/>
    <xdr:pic>
      <xdr:nvPicPr>
        <xdr:cNvPr id="5" name="image2.png"/>
        <xdr:cNvPicPr preferRelativeResize="0"/>
      </xdr:nvPicPr>
      <xdr:blipFill>
        <a:blip r:embed="rId2" cstate="print"/>
        <a:stretch>
          <a:fillRect/>
        </a:stretch>
      </xdr:blipFill>
      <xdr:spPr>
        <a:xfrm>
          <a:off x="0" y="19983450"/>
          <a:ext cx="685800" cy="44767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nventario%20importados%20editado%20producto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entario"/>
      <sheetName val="Revision"/>
      <sheetName val="Modelos"/>
      <sheetName val="Abonos"/>
      <sheetName val="Tipo de prenda"/>
      <sheetName val="Motivos de compra"/>
      <sheetName val="Estatus de pago"/>
      <sheetName val="Tallas"/>
      <sheetName val="Tipo de pago"/>
      <sheetName val="Estatus"/>
      <sheetName val="Colores"/>
      <sheetName val="Marcas"/>
      <sheetName val="Horma"/>
    </sheetNames>
    <sheetDataSet>
      <sheetData sheetId="0"/>
      <sheetData sheetId="1"/>
      <sheetData sheetId="2">
        <row r="2">
          <cell r="B2" t="str">
            <v>Chamarra Ferrato Verde Unisex 62660 </v>
          </cell>
        </row>
        <row r="3">
          <cell r="B3" t="str">
            <v>Tennis Puma Blanco Mujer 55725 3671405</v>
          </cell>
        </row>
        <row r="4">
          <cell r="B4" t="str">
            <v>Chamarra Adidas Multicolor Unisex 56000 </v>
          </cell>
        </row>
        <row r="5">
          <cell r="B5" t="str">
            <v>Tennis Reebok Blanco Hombre 68853 3421925</v>
          </cell>
        </row>
        <row r="6">
          <cell r="B6" t="str">
            <v>Tennis Puma Lila Mujer 34856 3003886</v>
          </cell>
        </row>
        <row r="7">
          <cell r="B7" t="str">
            <v>Tennis Puma Blanco Mujer 55554 3668863</v>
          </cell>
        </row>
        <row r="8">
          <cell r="B8" t="str">
            <v>Tennis Puma Blanco Mujer 68649 3425640</v>
          </cell>
        </row>
        <row r="9">
          <cell r="B9" t="str">
            <v>Tennis Adidas Rosa Mujer 86988 3614167</v>
          </cell>
        </row>
        <row r="10">
          <cell r="B10" t="str">
            <v>Sudadera Sketchers Negro Unisex 84079 </v>
          </cell>
        </row>
        <row r="11">
          <cell r="B11" t="str">
            <v>Sudadera Adidas Lila Unisex 55993 </v>
          </cell>
        </row>
        <row r="12">
          <cell r="B12" t="str">
            <v>Playera Adidas Verde agua Unisex 66195 </v>
          </cell>
        </row>
        <row r="13">
          <cell r="B13" t="str">
            <v>Chaleco CAT Negro Hombre 52918 </v>
          </cell>
        </row>
        <row r="14">
          <cell r="B14" t="str">
            <v>Sudadera Puma Negro Mujer 67340 </v>
          </cell>
        </row>
        <row r="15">
          <cell r="B15" t="str">
            <v>Blusas CAT Blanco Mujer 68706 </v>
          </cell>
        </row>
        <row r="16">
          <cell r="B16" t="str">
            <v>Sudadera Puma Rosa Mujer 59274 </v>
          </cell>
        </row>
        <row r="17">
          <cell r="B17" t="str">
            <v>Sudadera K-Swiss Gris Unisex 54246 </v>
          </cell>
        </row>
        <row r="18">
          <cell r="B18" t="str">
            <v>Sudadera Sketchers Lila Mujer 66730 </v>
          </cell>
        </row>
        <row r="19">
          <cell r="B19" t="str">
            <v>Blusas Reebok Negro Mujer 66144 </v>
          </cell>
        </row>
        <row r="20">
          <cell r="B20" t="str">
            <v>Chamarra Champion Negro Unisex 66157 </v>
          </cell>
        </row>
        <row r="21">
          <cell r="B21" t="str">
            <v>Hoodie Puma Negro Mujer 67340 </v>
          </cell>
        </row>
        <row r="22">
          <cell r="B22" t="str">
            <v>Hoodie Reebok Negro Unisex 66129 </v>
          </cell>
        </row>
        <row r="23">
          <cell r="B23" t="str">
            <v>Tennis Sketchers Gris Mujer 86592 3610602</v>
          </cell>
        </row>
        <row r="24">
          <cell r="B24" t="str">
            <v>Tennis Puma Azul Hombre 68640 3616161</v>
          </cell>
        </row>
        <row r="25">
          <cell r="B25" t="str">
            <v>Tennis Puma Azul Hombre 87158 3615720</v>
          </cell>
        </row>
        <row r="26">
          <cell r="B26" t="str">
            <v>Tennis Puma Verde Hombre 87157 3615447</v>
          </cell>
        </row>
        <row r="27">
          <cell r="B27" t="str">
            <v>Tennis Puma Negro Hombre 54186 3337806</v>
          </cell>
        </row>
        <row r="28">
          <cell r="B28" t="str">
            <v>Tennis Reebok Blanco Hombre 68850 3614822</v>
          </cell>
        </row>
        <row r="29">
          <cell r="B29" t="str">
            <v>Tennis Puma Azul Hombre 87157 3615522</v>
          </cell>
        </row>
        <row r="30">
          <cell r="B30" t="str">
            <v>Tennis Reebok Azul cielo Mujer 59070 3733523</v>
          </cell>
        </row>
        <row r="31">
          <cell r="B31" t="str">
            <v>Tennis Puma Negro Hombre 87184 3616666</v>
          </cell>
        </row>
        <row r="32">
          <cell r="B32" t="str">
            <v>Tennis Reebok Beige Mujer 66006 3617663</v>
          </cell>
        </row>
        <row r="33">
          <cell r="B33" t="str">
            <v>Tennis Puma Amarillo Hombre 87183 3616420</v>
          </cell>
        </row>
        <row r="34">
          <cell r="B34" t="str">
            <v>Tennis Puma Rosa Mujer 43680 377680</v>
          </cell>
        </row>
        <row r="35">
          <cell r="B35" t="str">
            <v>Tennis Puma Blanco Mujer 50022 3776629</v>
          </cell>
        </row>
        <row r="36">
          <cell r="B36" t="str">
            <v>Tennis Puma Blanco Mujer 50022 3619889</v>
          </cell>
        </row>
        <row r="37">
          <cell r="B37" t="str">
            <v>Tennis Adidas Verde Mujer 86991 3614242</v>
          </cell>
        </row>
        <row r="38">
          <cell r="B38" t="str">
            <v>Tennis Reebok Vino Hombre 68855 3615966</v>
          </cell>
        </row>
        <row r="39">
          <cell r="B39" t="str">
            <v>Tennis Adidas Azul Hombre 52794 3419700</v>
          </cell>
        </row>
        <row r="40">
          <cell r="B40" t="str">
            <v>Tennis Puma Verde Hombre 84230 3615621</v>
          </cell>
        </row>
        <row r="41">
          <cell r="B41" t="str">
            <v>Tennis Puma Verde Hombre 87177 3667149</v>
          </cell>
        </row>
        <row r="42">
          <cell r="B42" t="str">
            <v>Tennis Reebok Blanco Hombre 68851 3665060</v>
          </cell>
        </row>
        <row r="43">
          <cell r="B43" t="str">
            <v>Botas Discovery Gris Hombre 68475 3411568</v>
          </cell>
        </row>
        <row r="44">
          <cell r="B44" t="str">
            <v>Botas Jeep Café Hombre 85495 3599440</v>
          </cell>
        </row>
        <row r="45">
          <cell r="B45" t="str">
            <v>Tennis Adidas Coral Mujer 86738 3614105</v>
          </cell>
        </row>
        <row r="46">
          <cell r="B46" t="str">
            <v>Botas Discovery Café Hombre 85488 3599044</v>
          </cell>
        </row>
        <row r="47">
          <cell r="B47" t="str">
            <v>Tennis Adidas Blanco Mujer 86737 3614020</v>
          </cell>
        </row>
        <row r="48">
          <cell r="B48" t="str">
            <v>Tennis Adidas Beige Mujer 86737 3656167</v>
          </cell>
        </row>
        <row r="49">
          <cell r="B49" t="str">
            <v>Tennis Champion Negro Mujer 53823 3224540</v>
          </cell>
        </row>
        <row r="50">
          <cell r="B50" t="str">
            <v>Tennis Puma Negro Mujer 66327 3308509</v>
          </cell>
        </row>
        <row r="51">
          <cell r="B51" t="str">
            <v>Tennis Adidas Verde Hombre 52794 3610466</v>
          </cell>
        </row>
        <row r="52">
          <cell r="B52" t="str">
            <v>Tennis Puma Azul Hombre 66530 3338001</v>
          </cell>
        </row>
        <row r="53">
          <cell r="B53" t="str">
            <v>Tennis Sketchers Negro Mujer 86601 3610701</v>
          </cell>
        </row>
        <row r="54">
          <cell r="B54" t="str">
            <v>Tennis K-Swiss Beige Mujer 55837 3671580</v>
          </cell>
        </row>
        <row r="55">
          <cell r="B55" t="str">
            <v>Tennis Vans Gris Mujer 52912 3336106</v>
          </cell>
        </row>
        <row r="56">
          <cell r="B56" t="str">
            <v>Tennis Vans Verde menta Mujer 62691 3765968</v>
          </cell>
        </row>
        <row r="57">
          <cell r="B57" t="str">
            <v>Tennis Vans Rosa Mujer 66711 3336144</v>
          </cell>
        </row>
        <row r="58">
          <cell r="B58" t="str">
            <v>Botas SwissBrand Café Hombre 19061 2623788</v>
          </cell>
        </row>
        <row r="59">
          <cell r="B59" t="str">
            <v>Botas Discovery Café Mujer 85493 3599280</v>
          </cell>
        </row>
        <row r="60">
          <cell r="B60" t="str">
            <v>Tennis Puma Beige Mujer 50030 3776582</v>
          </cell>
        </row>
        <row r="61">
          <cell r="B61" t="str">
            <v>Tennis Puma Negro Mujer 43680 3730867</v>
          </cell>
        </row>
        <row r="62">
          <cell r="B62" t="str">
            <v>Tennis Adidas Negro Mujer 92480 3774861</v>
          </cell>
        </row>
        <row r="63">
          <cell r="B63" t="str">
            <v>Tennis Puma Blanco Hombre 66321 3616208</v>
          </cell>
        </row>
        <row r="64">
          <cell r="B64" t="str">
            <v>Tennis Puma Negro Hombre 52817 3425480</v>
          </cell>
        </row>
        <row r="65">
          <cell r="B65" t="str">
            <v>Tennis Reebok Lila Mujer 59072 3733561</v>
          </cell>
        </row>
        <row r="66">
          <cell r="B66" t="str">
            <v>Tennis Adidas Azul Mujer 68600 3424728</v>
          </cell>
        </row>
        <row r="67">
          <cell r="B67" t="str">
            <v>Tennis Adidas Blanco Hombre 86567 3655207</v>
          </cell>
        </row>
        <row r="68">
          <cell r="B68" t="str">
            <v>Botas Jeep Café Hombre 85495 3599440</v>
          </cell>
        </row>
        <row r="69">
          <cell r="B69" t="str">
            <v>Botas Andrea Negro Hombre 61980 3650806</v>
          </cell>
        </row>
        <row r="70">
          <cell r="B70" t="str">
            <v>Botas Jeep Café Hombre 34610 2703701</v>
          </cell>
        </row>
        <row r="71">
          <cell r="B71" t="str">
            <v>Botas SwissBrand Café Hombre 10000 3306185</v>
          </cell>
        </row>
        <row r="72">
          <cell r="B72" t="str">
            <v>Botas SwissBrand Azul Marino Hombre 36422 2702964</v>
          </cell>
        </row>
        <row r="73">
          <cell r="B73" t="str">
            <v>Botas SwissBrand Miel Hombre 89936 3001202</v>
          </cell>
        </row>
        <row r="74">
          <cell r="B74" t="str">
            <v>Tennis Reebok Lila Mujer 56658 3713983</v>
          </cell>
        </row>
        <row r="75">
          <cell r="B75" t="str">
            <v>Tennis Puma Blanco Hombre 43642 3726044</v>
          </cell>
        </row>
        <row r="76">
          <cell r="B76" t="str">
            <v>Tennis Puma Rojo Hombre 84240 3616741</v>
          </cell>
        </row>
        <row r="77">
          <cell r="B77" t="str">
            <v>Tennis Puma Rojo Hombre 68641 3616321</v>
          </cell>
        </row>
        <row r="78">
          <cell r="B78" t="str">
            <v>Tennis Puma Negro Hombre 66532 3328705</v>
          </cell>
        </row>
        <row r="79">
          <cell r="B79" t="str">
            <v>Tennis Puma Negro Hombre 66529 3328606</v>
          </cell>
        </row>
        <row r="80">
          <cell r="B80" t="str">
            <v>Tennis Vans Blanco Mujer 52912 3420164</v>
          </cell>
        </row>
        <row r="81">
          <cell r="B81" t="str">
            <v>Tennis K-Swiss Blanco Mujer 52760 3305263</v>
          </cell>
        </row>
        <row r="82">
          <cell r="B82" t="str">
            <v>Tennis Nike Rosa Mujer 57947 3080764</v>
          </cell>
        </row>
        <row r="83">
          <cell r="B83" t="str">
            <v>Tennis Reebok Verde Hombre 59063 3733141</v>
          </cell>
        </row>
        <row r="84">
          <cell r="B84" t="str">
            <v>Tennis Adidas Verde Hombre 86586 3771464</v>
          </cell>
        </row>
        <row r="85">
          <cell r="B85" t="str">
            <v>Tennis Under Armor Azul Navy Hombre 53849 3729526</v>
          </cell>
        </row>
        <row r="86">
          <cell r="B86" t="str">
            <v>Tennis Puma Blanco Hombre 43643 3726280</v>
          </cell>
        </row>
        <row r="87">
          <cell r="B87" t="str">
            <v>Tennis Puma Negro Hombre 66530 3328620</v>
          </cell>
        </row>
        <row r="88">
          <cell r="B88" t="str">
            <v>Botas Ferrato Negro Hombre 89732 2976625</v>
          </cell>
        </row>
        <row r="89">
          <cell r="B89" t="str">
            <v>Botas Discovery Café Mujer 9074 2426006</v>
          </cell>
        </row>
        <row r="90">
          <cell r="B90" t="str">
            <v>Botas Andrea Hueso Mujer 62687 3258682</v>
          </cell>
        </row>
        <row r="91">
          <cell r="B91" t="str">
            <v>Botas Lobo Solo Negro Mujer 89549 3123447</v>
          </cell>
        </row>
        <row r="92">
          <cell r="B92" t="str">
            <v>Tennis Puma Blanco Mujer 43676 3730485</v>
          </cell>
        </row>
        <row r="93">
          <cell r="B93" t="str">
            <v>Abrigo Andrea Azul Marino Mujer 57905 3076446</v>
          </cell>
        </row>
        <row r="94">
          <cell r="B94" t="str">
            <v>Vestido Andrea Rosa Mujer 59987 3125304</v>
          </cell>
        </row>
        <row r="95">
          <cell r="B95" t="str">
            <v>Hoodie Under Armor Coral Mujer 52399 3164525</v>
          </cell>
        </row>
        <row r="96">
          <cell r="B96" t="str">
            <v>Zapato Andrea Café Hombre 58358 3089200</v>
          </cell>
        </row>
        <row r="97">
          <cell r="B97" t="str">
            <v>Tennis Adidas Beige Hombre 66534 3771105</v>
          </cell>
        </row>
        <row r="98">
          <cell r="B98" t="str">
            <v>Botas Andrea Café Mujer 84972 3593424</v>
          </cell>
        </row>
        <row r="99">
          <cell r="B99" t="str">
            <v>Tennis Reebok Rojo Hombre 59061 3732885</v>
          </cell>
        </row>
        <row r="100">
          <cell r="B100" t="str">
            <v>Botas Andrea Café Mujer 80458 3540909</v>
          </cell>
        </row>
        <row r="101">
          <cell r="B101" t="str">
            <v>Tennis Polo Blanco Hombre 54740 3185049</v>
          </cell>
        </row>
        <row r="102">
          <cell r="B102" t="str">
            <v>Botas Ferrato Azul Hombre 64718 2710860</v>
          </cell>
        </row>
        <row r="103">
          <cell r="B103" t="str">
            <v>Tennis Pirma Lila Mujer 36027 3274903</v>
          </cell>
        </row>
        <row r="104">
          <cell r="B104" t="str">
            <v>Tennis Sketchers Gris Mujer 63705 3362723</v>
          </cell>
        </row>
        <row r="105">
          <cell r="B105" t="str">
            <v>Tennis Sketchers Vino Mujer 66602 3362747</v>
          </cell>
        </row>
        <row r="106">
          <cell r="B106" t="str">
            <v>Botas Discovery Rosa Mujer 38126 2745923</v>
          </cell>
        </row>
        <row r="107">
          <cell r="B107" t="str">
            <v>Tennis Puma Gris Hombre 68641 3560709</v>
          </cell>
        </row>
        <row r="108">
          <cell r="B108" t="str">
            <v>Tennis Sketchers Gris Hombre 66608 3332207</v>
          </cell>
        </row>
        <row r="109">
          <cell r="B109" t="str">
            <v>Zapato Andrea Café Mujer 63383 320849</v>
          </cell>
        </row>
        <row r="110">
          <cell r="B110" t="str">
            <v>Tennis Puma Negro Mujer 66528 3328507</v>
          </cell>
        </row>
        <row r="111">
          <cell r="B111" t="str">
            <v>Tennis Puma Blanco Hombre 39469 2752426</v>
          </cell>
        </row>
        <row r="112">
          <cell r="B112" t="str">
            <v>Tennis Puma Gris Hombre 66531 3328888</v>
          </cell>
        </row>
        <row r="113">
          <cell r="B113" t="str">
            <v>Tennis Reebok Rosa Mujer 87188 3617601</v>
          </cell>
        </row>
        <row r="114">
          <cell r="B114" t="str">
            <v>Tennis Puma Rosa Mujer 53887 3225981</v>
          </cell>
        </row>
        <row r="115">
          <cell r="B115" t="str">
            <v>Botas Ferrato Negro Hombre 84466 3574324</v>
          </cell>
        </row>
        <row r="116">
          <cell r="B116" t="str">
            <v>Botas Ferrato Negro Hombre 84482 3575246</v>
          </cell>
        </row>
        <row r="117">
          <cell r="B117" t="str">
            <v>Botas Ferrato Café Hombre 58949 3117163</v>
          </cell>
        </row>
        <row r="118">
          <cell r="B118" t="str">
            <v>Botas SwissBrand Café Hombre 560 2528021</v>
          </cell>
        </row>
        <row r="119">
          <cell r="B119" t="str">
            <v>Tennis Puma Gris Hombre 66532 3338063</v>
          </cell>
        </row>
        <row r="120">
          <cell r="B120" t="str">
            <v>Tennis Vans Rosa Mujer 62691 3613948</v>
          </cell>
        </row>
        <row r="121">
          <cell r="B121" t="str">
            <v>Tennis Puma Beige Hombre 43642 3726068</v>
          </cell>
        </row>
        <row r="122">
          <cell r="B122" t="str">
            <v>Tennis Reebok Blanco Mujer 66357 3314807</v>
          </cell>
        </row>
        <row r="123">
          <cell r="B123" t="str">
            <v>Calzado pedido Andrea S/C Unisex Pedido Pedido</v>
          </cell>
          <cell r="C123" t="str">
            <v>Pedido</v>
          </cell>
        </row>
        <row r="124">
          <cell r="B124" t="str">
            <v>Tennis Puma Blanco Mujer 43666 3729786</v>
          </cell>
        </row>
        <row r="125">
          <cell r="B125" t="str">
            <v>Tennis Puma Blanco Hombre 84230 3615706</v>
          </cell>
        </row>
        <row r="126">
          <cell r="B126" t="str">
            <v>Botas Discovery Azul Hombre 83018 3008829</v>
          </cell>
        </row>
        <row r="127">
          <cell r="B127" t="str">
            <v>Botas Ferrato Negro Hombre 58370 3091142</v>
          </cell>
        </row>
        <row r="128">
          <cell r="B128" t="str">
            <v>Tennis Adidas Blanco Unisex 68592 3419502</v>
          </cell>
        </row>
        <row r="129">
          <cell r="B129" t="str">
            <v>Tennis Adidas Blanco Unisex 66335 3610084</v>
          </cell>
        </row>
        <row r="130">
          <cell r="B130" t="str">
            <v>Tennis Vans Negro Hombre 53773 3222805</v>
          </cell>
        </row>
        <row r="131">
          <cell r="B131" t="str">
            <v>Tennis Puma Naranja Hombre 68465 3616505</v>
          </cell>
        </row>
        <row r="132">
          <cell r="B132" t="str">
            <v>Tennis Reebok Azul Hombre 68849 3481141</v>
          </cell>
        </row>
        <row r="133">
          <cell r="B133" t="str">
            <v>Tennis Adidas Blanco Hombre 66929 3340325</v>
          </cell>
        </row>
        <row r="134">
          <cell r="B134" t="str">
            <v>Tennis Vans Rosa Mujer 62691 3258880</v>
          </cell>
        </row>
        <row r="135">
          <cell r="B135" t="str">
            <v>Tennis Vans Negro Mujer 58556 3729243</v>
          </cell>
        </row>
        <row r="136">
          <cell r="B136" t="str">
            <v>Tennis Adidas Azul Mujer 56742 3772287</v>
          </cell>
        </row>
        <row r="137">
          <cell r="B137" t="str">
            <v>Tennis Adidas Rosa Mujer 84205 3558980</v>
          </cell>
        </row>
        <row r="138">
          <cell r="B138" t="str">
            <v>Tennis Adidas Rosa Mujer 66336 3558720</v>
          </cell>
        </row>
        <row r="139">
          <cell r="B139" t="str">
            <v>Tennis Reebok Lila Mujer 62714 3259603</v>
          </cell>
        </row>
        <row r="140">
          <cell r="B140" t="str">
            <v>Tennis Lacoste Azul Navy Unisex 92796 3842041</v>
          </cell>
        </row>
        <row r="141">
          <cell r="B141" t="str">
            <v>Tennis Lacoste Azul cielo Hombre 82901 3842300</v>
          </cell>
        </row>
        <row r="142">
          <cell r="B142" t="str">
            <v>Tennis Nike Azul cielo Hombre 92711 3835005</v>
          </cell>
        </row>
        <row r="143">
          <cell r="B143" t="str">
            <v>Tennis K-Swiss Negro Hombre 52756 3433843</v>
          </cell>
        </row>
        <row r="144">
          <cell r="B144" t="str">
            <v>Tennis Under Armor Verde Mujer 94557 3877647</v>
          </cell>
        </row>
        <row r="145">
          <cell r="B145" t="str">
            <v>Tennis Adidas Rosa Mujer 86737 3835869</v>
          </cell>
        </row>
        <row r="146">
          <cell r="B146" t="str">
            <v>Tennis Puma Negro Unisex 43670 3776643</v>
          </cell>
        </row>
        <row r="147">
          <cell r="B147" t="str">
            <v>Tennis Under Armor Morado Mujer 68665 3841303</v>
          </cell>
        </row>
        <row r="148">
          <cell r="B148" t="str">
            <v>Tennis Puma Negro Mujer 43683 3839249</v>
          </cell>
        </row>
        <row r="149">
          <cell r="B149" t="str">
            <v>Tennis Adidas Azul Mujer 86737 3721926</v>
          </cell>
        </row>
        <row r="150">
          <cell r="B150" t="str">
            <v>Tennis Vans Verde Mujer 92757 3837962</v>
          </cell>
        </row>
        <row r="151">
          <cell r="B151" t="str">
            <v>Tennis Puma Blanco Mujer 43680 3859223</v>
          </cell>
        </row>
        <row r="152">
          <cell r="B152" t="str">
            <v>Tennis Vans Multicolor Mujer 52912 3258804</v>
          </cell>
        </row>
        <row r="153">
          <cell r="B153" t="str">
            <v>Tennis Reebok Negro Mujer 94959 3855416</v>
          </cell>
        </row>
        <row r="154">
          <cell r="B154" t="str">
            <v>Tennis Under Armor Blanco Mujer 87752 3731963</v>
          </cell>
        </row>
        <row r="155">
          <cell r="B155" t="str">
            <v>Tennis Pirma Rosa Mujer 92879 3842584</v>
          </cell>
        </row>
        <row r="156">
          <cell r="B156" t="str">
            <v>Tennis Puma Blanco Mujer 94765 3884263</v>
          </cell>
        </row>
        <row r="157">
          <cell r="B157" t="str">
            <v>Tennis Pirma Negro Mujer 92880 3842607</v>
          </cell>
        </row>
        <row r="158">
          <cell r="B158" t="str">
            <v>Tennis Under Armor Verde Hombre 65944 3333501</v>
          </cell>
        </row>
        <row r="159">
          <cell r="B159" t="str">
            <v>Tennis Under Armor Negro Hombre 87745 3845509</v>
          </cell>
        </row>
        <row r="160">
          <cell r="B160" t="str">
            <v>Tennis Vans Negro Hombre 92756 3837948</v>
          </cell>
        </row>
        <row r="161">
          <cell r="B161" t="str">
            <v>Tennis Lacoste Azul cielo Hombre 56584 3692080</v>
          </cell>
        </row>
        <row r="162">
          <cell r="B162" t="str">
            <v>Tennis Nike Blanco Hombre 92710 3834985</v>
          </cell>
        </row>
        <row r="163">
          <cell r="B163" t="str">
            <v>Tennis CAT Beige Hombre 94948 3855843</v>
          </cell>
        </row>
        <row r="164">
          <cell r="B164" t="str">
            <v>Botas CAT Verde Hombre 94948 3855843</v>
          </cell>
        </row>
        <row r="165">
          <cell r="B165" t="str">
            <v>Tennis Adidas Negro Hombre 92481 3774922</v>
          </cell>
        </row>
      </sheetData>
      <sheetData sheetId="3"/>
      <sheetData sheetId="4"/>
      <sheetData sheetId="5"/>
      <sheetData sheetId="6"/>
      <sheetData sheetId="7"/>
      <sheetData sheetId="8"/>
      <sheetData sheetId="9"/>
      <sheetData sheetId="10"/>
      <sheetData sheetId="11"/>
      <sheetData sheetId="12"/>
    </sheetDataSet>
  </externalBook>
</externalLink>
</file>

<file path=xl/tables/table1.xml><?xml version="1.0" encoding="utf-8"?>
<table xmlns="http://schemas.openxmlformats.org/spreadsheetml/2006/main" id="1" name="Inventario" displayName="Inventario" ref="A1:AH173">
  <autoFilter xmlns:etc="http://www.wps.cn/officeDocument/2017/etCustomData" ref="A1:AH173" etc:filterBottomFollowUsedRange="0">
    <filterColumn colId="3">
      <filters>
        <filter val="30"/>
        <filter val="23"/>
        <filter val="24"/>
        <filter val="25"/>
        <filter val="26"/>
        <filter val="27"/>
        <filter val="28"/>
        <filter val="29"/>
      </filters>
    </filterColumn>
  </autoFilter>
  <tableColumns count="34">
    <tableColumn id="1" name="#"/>
    <tableColumn id="2" name="Imagen"/>
    <tableColumn id="3" name="Modelo"/>
    <tableColumn id="4" name="Talla" dataDxfId="0"/>
    <tableColumn id="5" name="Estatus"/>
    <tableColumn id="6" name="Revisado"/>
    <tableColumn id="7" name="Costo original"/>
    <tableColumn id="8" name="Precio_compra"/>
    <tableColumn id="9" name="Precio sugerido contado"/>
    <tableColumn id="10" name="Precio sugerido pagos"/>
    <tableColumn id="11" name="Precio_venta"/>
    <tableColumn id="12" name="Monto pagado"/>
    <tableColumn id="13" name="Ganancia"/>
    <tableColumn id="14" name="Fecha de compra"/>
    <tableColumn id="15" name="Fecha de venta"/>
    <tableColumn id="16" name="Fecha estimada de devolución"/>
    <tableColumn id="17" name="Tipo de pago"/>
    <tableColumn id="18" name="Estatus de pago"/>
    <tableColumn id="19" name="Motivo de compra"/>
    <tableColumn id="20" name="Fecha de apartado"/>
    <tableColumn id="21" name="Columna 1"/>
    <tableColumn id="22" name="Columna 2"/>
    <tableColumn id="23" name="Columna 3"/>
    <tableColumn id="24" name="Columna 4"/>
    <tableColumn id="25" name="Columna 5"/>
    <tableColumn id="26" name="Columna 6"/>
    <tableColumn id="27" name="Columna 7"/>
    <tableColumn id="28" name="Columna 8"/>
    <tableColumn id="29" name="Columna 9"/>
    <tableColumn id="30" name="Columna 10"/>
    <tableColumn id="31" name="Columna 11"/>
    <tableColumn id="32" name="Columna 12"/>
    <tableColumn id="33" name="Columna 13"/>
    <tableColumn id="34" name="Columna 14"/>
  </tableColumns>
  <tableStyleInfo name="Inventario-style" showFirstColumn="1" showLastColumn="1"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H1098"/>
  <sheetViews>
    <sheetView tabSelected="1" workbookViewId="0">
      <pane ySplit="1" topLeftCell="A158" activePane="bottomLeft" state="frozen"/>
      <selection/>
      <selection pane="bottomLeft" activeCell="D2" sqref="D2:D173"/>
    </sheetView>
  </sheetViews>
  <sheetFormatPr defaultColWidth="12.6285714285714" defaultRowHeight="15.75" customHeight="1"/>
  <cols>
    <col min="1" max="1" width="9.87619047619048" style="1" hidden="1" customWidth="1"/>
    <col min="2" max="2" width="11.8761904761905" style="1" customWidth="1"/>
    <col min="3" max="3" width="48.5047619047619" style="1" customWidth="1"/>
    <col min="4" max="4" width="17.5047619047619" style="2" customWidth="1"/>
    <col min="5" max="5" width="17.1333333333333" style="1" customWidth="1"/>
    <col min="6" max="6" width="15.247619047619" style="1" customWidth="1"/>
    <col min="7" max="8" width="12.6285714285714" style="1"/>
    <col min="9" max="10" width="12.6285714285714" style="1" hidden="1"/>
    <col min="11" max="11" width="15.752380952381" style="1" customWidth="1"/>
    <col min="12" max="12" width="14.8761904761905" style="1" hidden="1" customWidth="1"/>
    <col min="13" max="13" width="15.5047619047619" style="1" hidden="1" customWidth="1"/>
    <col min="14" max="14" width="16.3809523809524" style="1" hidden="1" customWidth="1"/>
    <col min="15" max="15" width="12.6285714285714" style="1" hidden="1"/>
    <col min="16" max="16" width="17" style="1" hidden="1" customWidth="1"/>
    <col min="17" max="17" width="21.5047619047619" style="1" hidden="1" customWidth="1"/>
    <col min="18" max="18" width="23.8761904761905" style="1" hidden="1" customWidth="1"/>
    <col min="19" max="19" width="15" style="1" hidden="1" customWidth="1"/>
    <col min="20" max="20" width="15.5047619047619" style="1" customWidth="1"/>
    <col min="21" max="16384" width="12.6285714285714" style="1"/>
  </cols>
  <sheetData>
    <row r="1" ht="22.5" customHeight="1" spans="1:34">
      <c r="A1" s="3" t="s">
        <v>0</v>
      </c>
      <c r="B1" s="4" t="s">
        <v>1</v>
      </c>
      <c r="C1" s="3" t="s">
        <v>2</v>
      </c>
      <c r="D1" s="5" t="s">
        <v>3</v>
      </c>
      <c r="E1" s="3" t="s">
        <v>4</v>
      </c>
      <c r="F1" s="4" t="s">
        <v>5</v>
      </c>
      <c r="G1" s="6" t="s">
        <v>6</v>
      </c>
      <c r="H1" s="6" t="s">
        <v>7</v>
      </c>
      <c r="I1" s="4" t="s">
        <v>8</v>
      </c>
      <c r="J1" s="4" t="s">
        <v>9</v>
      </c>
      <c r="K1" s="6" t="s">
        <v>10</v>
      </c>
      <c r="L1" s="6" t="s">
        <v>11</v>
      </c>
      <c r="M1" s="6" t="s">
        <v>12</v>
      </c>
      <c r="N1" s="7" t="s">
        <v>13</v>
      </c>
      <c r="O1" s="3" t="s">
        <v>14</v>
      </c>
      <c r="P1" s="3" t="s">
        <v>15</v>
      </c>
      <c r="Q1" s="3" t="s">
        <v>16</v>
      </c>
      <c r="R1" s="3" t="s">
        <v>17</v>
      </c>
      <c r="S1" s="3"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row>
    <row r="2" ht="35.25" customHeight="1" spans="1:34">
      <c r="A2" s="9"/>
      <c r="B2" s="10">
        <f>VLOOKUP(C2,[1]Modelos!$B$2:$C$100,2,FALSE)</f>
        <v>0</v>
      </c>
      <c r="C2" s="10" t="s">
        <v>34</v>
      </c>
      <c r="D2" s="79" t="s">
        <v>35</v>
      </c>
      <c r="E2" s="10" t="s">
        <v>36</v>
      </c>
      <c r="F2" s="10"/>
      <c r="G2" s="12">
        <v>979.9</v>
      </c>
      <c r="H2" s="12">
        <v>274.37</v>
      </c>
      <c r="I2" s="12">
        <f t="shared" ref="I2:I65" si="0">H2*1.6</f>
        <v>438.992</v>
      </c>
      <c r="J2" s="12">
        <f t="shared" ref="J2:J65" si="1">H2*1.7</f>
        <v>466.429</v>
      </c>
      <c r="K2" s="12">
        <v>0</v>
      </c>
      <c r="L2" s="12">
        <v>0</v>
      </c>
      <c r="M2" s="12">
        <f t="shared" ref="M2:M65" si="2">K2-H2</f>
        <v>-274.37</v>
      </c>
      <c r="N2" s="13">
        <v>45917</v>
      </c>
      <c r="P2" s="13">
        <f t="shared" ref="P2:P65" si="3">N2+4</f>
        <v>45921</v>
      </c>
      <c r="Q2" s="14" t="s">
        <v>37</v>
      </c>
      <c r="R2" s="10" t="s">
        <v>37</v>
      </c>
      <c r="S2" s="10" t="s">
        <v>38</v>
      </c>
      <c r="T2" s="15"/>
      <c r="U2" s="10"/>
      <c r="V2" s="10"/>
      <c r="W2" s="10"/>
      <c r="X2" s="10"/>
      <c r="Y2" s="10"/>
      <c r="Z2" s="10"/>
      <c r="AA2" s="10"/>
      <c r="AB2" s="10"/>
      <c r="AC2" s="10"/>
      <c r="AD2" s="10"/>
      <c r="AE2" s="10"/>
      <c r="AF2" s="10"/>
      <c r="AG2" s="10"/>
      <c r="AH2" s="10"/>
    </row>
    <row r="3" ht="35.25" customHeight="1" spans="1:34">
      <c r="A3" s="9"/>
      <c r="B3" s="10">
        <f>VLOOKUP(C3,[1]Modelos!$B$2:$C$100,2,FALSE)</f>
        <v>0</v>
      </c>
      <c r="C3" s="10" t="s">
        <v>34</v>
      </c>
      <c r="D3" s="79" t="s">
        <v>35</v>
      </c>
      <c r="E3" s="10" t="s">
        <v>36</v>
      </c>
      <c r="F3" s="10"/>
      <c r="G3" s="12">
        <v>979.9</v>
      </c>
      <c r="H3" s="12">
        <v>274.37</v>
      </c>
      <c r="I3" s="12">
        <f t="shared" si="0"/>
        <v>438.992</v>
      </c>
      <c r="J3" s="12">
        <f t="shared" si="1"/>
        <v>466.429</v>
      </c>
      <c r="K3" s="12">
        <v>0</v>
      </c>
      <c r="L3" s="12">
        <v>0</v>
      </c>
      <c r="M3" s="12">
        <f t="shared" si="2"/>
        <v>-274.37</v>
      </c>
      <c r="N3" s="13">
        <v>45917</v>
      </c>
      <c r="P3" s="13">
        <f t="shared" si="3"/>
        <v>45921</v>
      </c>
      <c r="Q3" s="14" t="s">
        <v>37</v>
      </c>
      <c r="R3" s="10" t="s">
        <v>37</v>
      </c>
      <c r="S3" s="10" t="s">
        <v>38</v>
      </c>
      <c r="T3" s="15"/>
      <c r="U3" s="10"/>
      <c r="V3" s="10"/>
      <c r="W3" s="10"/>
      <c r="X3" s="10"/>
      <c r="Y3" s="10"/>
      <c r="Z3" s="10"/>
      <c r="AA3" s="10"/>
      <c r="AB3" s="10"/>
      <c r="AC3" s="10"/>
      <c r="AD3" s="10"/>
      <c r="AE3" s="10"/>
      <c r="AF3" s="10"/>
      <c r="AG3" s="10"/>
      <c r="AH3" s="10"/>
    </row>
    <row r="4" ht="35.25" customHeight="1" spans="1:34">
      <c r="A4" s="9"/>
      <c r="B4" s="10">
        <f>VLOOKUP(C4,[1]Modelos!$B$2:$C$100,2,FALSE)</f>
        <v>0</v>
      </c>
      <c r="C4" s="10" t="s">
        <v>34</v>
      </c>
      <c r="D4" s="79" t="s">
        <v>35</v>
      </c>
      <c r="E4" s="10" t="s">
        <v>36</v>
      </c>
      <c r="F4" s="10"/>
      <c r="G4" s="12">
        <v>979.9</v>
      </c>
      <c r="H4" s="12">
        <v>274.37</v>
      </c>
      <c r="I4" s="12">
        <f t="shared" si="0"/>
        <v>438.992</v>
      </c>
      <c r="J4" s="12">
        <f t="shared" si="1"/>
        <v>466.429</v>
      </c>
      <c r="K4" s="12">
        <v>0</v>
      </c>
      <c r="L4" s="12">
        <v>0</v>
      </c>
      <c r="M4" s="12">
        <f t="shared" si="2"/>
        <v>-274.37</v>
      </c>
      <c r="N4" s="13">
        <v>45917</v>
      </c>
      <c r="P4" s="13">
        <f t="shared" si="3"/>
        <v>45921</v>
      </c>
      <c r="Q4" s="14" t="s">
        <v>37</v>
      </c>
      <c r="R4" s="10" t="s">
        <v>37</v>
      </c>
      <c r="S4" s="10" t="s">
        <v>38</v>
      </c>
      <c r="T4" s="15"/>
      <c r="U4" s="10"/>
      <c r="V4" s="10"/>
      <c r="W4" s="10"/>
      <c r="X4" s="10"/>
      <c r="Y4" s="10"/>
      <c r="Z4" s="10"/>
      <c r="AA4" s="10"/>
      <c r="AB4" s="10"/>
      <c r="AC4" s="10"/>
      <c r="AD4" s="10"/>
      <c r="AE4" s="10"/>
      <c r="AF4" s="10"/>
      <c r="AG4" s="10"/>
      <c r="AH4" s="10"/>
    </row>
    <row r="5" ht="35.25" hidden="1" customHeight="1" spans="1:34">
      <c r="A5" s="9"/>
      <c r="B5" s="10">
        <f>VLOOKUP(C5,[1]Modelos!$B$2:$C$100,2,FALSE)</f>
        <v>0</v>
      </c>
      <c r="C5" s="10" t="s">
        <v>34</v>
      </c>
      <c r="D5" s="80" t="s">
        <v>39</v>
      </c>
      <c r="E5" s="10" t="s">
        <v>36</v>
      </c>
      <c r="F5" s="10"/>
      <c r="G5" s="12">
        <v>979.9</v>
      </c>
      <c r="H5" s="12">
        <v>274.37</v>
      </c>
      <c r="I5" s="12">
        <f t="shared" si="0"/>
        <v>438.992</v>
      </c>
      <c r="J5" s="12">
        <f t="shared" si="1"/>
        <v>466.429</v>
      </c>
      <c r="K5" s="12">
        <v>0</v>
      </c>
      <c r="L5" s="12">
        <v>0</v>
      </c>
      <c r="M5" s="12">
        <f t="shared" si="2"/>
        <v>-274.37</v>
      </c>
      <c r="N5" s="13">
        <v>45917</v>
      </c>
      <c r="P5" s="13">
        <f t="shared" si="3"/>
        <v>45921</v>
      </c>
      <c r="Q5" s="14" t="s">
        <v>37</v>
      </c>
      <c r="R5" s="10" t="s">
        <v>37</v>
      </c>
      <c r="S5" s="10" t="s">
        <v>38</v>
      </c>
      <c r="T5" s="15"/>
      <c r="U5" s="10"/>
      <c r="V5" s="10"/>
      <c r="W5" s="10"/>
      <c r="X5" s="10"/>
      <c r="Y5" s="10"/>
      <c r="Z5" s="10"/>
      <c r="AA5" s="10"/>
      <c r="AB5" s="10"/>
      <c r="AC5" s="10"/>
      <c r="AD5" s="10"/>
      <c r="AE5" s="10"/>
      <c r="AF5" s="10"/>
      <c r="AG5" s="10"/>
      <c r="AH5" s="10"/>
    </row>
    <row r="6" ht="35.25" customHeight="1" spans="1:34">
      <c r="A6" s="9">
        <v>61</v>
      </c>
      <c r="B6" s="10">
        <f>VLOOKUP(C6,[1]Modelos!$B$2:$C$100,2,FALSE)</f>
        <v>0</v>
      </c>
      <c r="C6" s="10" t="s">
        <v>40</v>
      </c>
      <c r="D6" s="79" t="s">
        <v>41</v>
      </c>
      <c r="E6" s="10" t="s">
        <v>36</v>
      </c>
      <c r="F6" s="10"/>
      <c r="G6" s="12">
        <v>1200</v>
      </c>
      <c r="H6" s="12">
        <v>380</v>
      </c>
      <c r="I6" s="12">
        <f t="shared" si="0"/>
        <v>608</v>
      </c>
      <c r="J6" s="12">
        <f t="shared" si="1"/>
        <v>646</v>
      </c>
      <c r="K6" s="12">
        <v>690</v>
      </c>
      <c r="L6" s="12">
        <v>0</v>
      </c>
      <c r="M6" s="12">
        <f t="shared" si="2"/>
        <v>310</v>
      </c>
      <c r="N6" s="13">
        <v>45908</v>
      </c>
      <c r="P6" s="13">
        <f t="shared" si="3"/>
        <v>45912</v>
      </c>
      <c r="Q6" s="14" t="s">
        <v>37</v>
      </c>
      <c r="R6" s="10" t="s">
        <v>37</v>
      </c>
      <c r="S6" s="10" t="s">
        <v>38</v>
      </c>
      <c r="T6" s="15"/>
      <c r="U6" s="10"/>
      <c r="V6" s="10"/>
      <c r="W6" s="10"/>
      <c r="X6" s="10"/>
      <c r="Y6" s="10"/>
      <c r="Z6" s="10"/>
      <c r="AA6" s="10"/>
      <c r="AB6" s="10"/>
      <c r="AC6" s="10"/>
      <c r="AD6" s="10"/>
      <c r="AE6" s="10"/>
      <c r="AF6" s="10"/>
      <c r="AG6" s="10"/>
      <c r="AH6" s="10"/>
    </row>
    <row r="7" ht="35.25" customHeight="1" spans="1:34">
      <c r="A7" s="9">
        <v>90</v>
      </c>
      <c r="B7" s="10">
        <f>VLOOKUP(C7,[1]Modelos!$B$2:$C$100,2,FALSE)</f>
        <v>0</v>
      </c>
      <c r="C7" s="10" t="s">
        <v>42</v>
      </c>
      <c r="D7" s="79" t="s">
        <v>43</v>
      </c>
      <c r="E7" s="10" t="s">
        <v>36</v>
      </c>
      <c r="F7" s="10"/>
      <c r="G7" s="12">
        <v>1200</v>
      </c>
      <c r="H7" s="12">
        <v>330</v>
      </c>
      <c r="I7" s="12">
        <f t="shared" si="0"/>
        <v>528</v>
      </c>
      <c r="J7" s="12">
        <f t="shared" si="1"/>
        <v>561</v>
      </c>
      <c r="K7" s="12">
        <v>550</v>
      </c>
      <c r="L7" s="12">
        <v>0</v>
      </c>
      <c r="M7" s="12">
        <f t="shared" si="2"/>
        <v>220</v>
      </c>
      <c r="N7" s="13">
        <v>45908</v>
      </c>
      <c r="P7" s="13">
        <f t="shared" si="3"/>
        <v>45912</v>
      </c>
      <c r="Q7" s="14" t="s">
        <v>37</v>
      </c>
      <c r="R7" s="10" t="s">
        <v>37</v>
      </c>
      <c r="S7" s="10" t="s">
        <v>38</v>
      </c>
      <c r="T7" s="15"/>
      <c r="U7" s="10"/>
      <c r="V7" s="10"/>
      <c r="W7" s="10"/>
      <c r="X7" s="10"/>
      <c r="Y7" s="10"/>
      <c r="Z7" s="10"/>
      <c r="AA7" s="10"/>
      <c r="AB7" s="10"/>
      <c r="AC7" s="10"/>
      <c r="AD7" s="10"/>
      <c r="AE7" s="10"/>
      <c r="AF7" s="10"/>
      <c r="AG7" s="10"/>
      <c r="AH7" s="10"/>
    </row>
    <row r="8" ht="35.25" hidden="1" customHeight="1" spans="1:34">
      <c r="A8" s="10"/>
      <c r="B8" s="10">
        <f>VLOOKUP(C8,[1]Modelos!$B$2:$C$100,2,FALSE)</f>
        <v>0</v>
      </c>
      <c r="C8" s="10" t="s">
        <v>44</v>
      </c>
      <c r="D8" s="80" t="s">
        <v>45</v>
      </c>
      <c r="E8" s="10" t="s">
        <v>36</v>
      </c>
      <c r="F8" s="10"/>
      <c r="G8" s="12">
        <v>489</v>
      </c>
      <c r="H8" s="12">
        <v>249.02</v>
      </c>
      <c r="I8" s="12">
        <f t="shared" si="0"/>
        <v>398.432</v>
      </c>
      <c r="J8" s="12">
        <f t="shared" si="1"/>
        <v>423.334</v>
      </c>
      <c r="K8" s="12">
        <v>630</v>
      </c>
      <c r="L8" s="12">
        <v>0</v>
      </c>
      <c r="M8" s="12">
        <f t="shared" si="2"/>
        <v>380.98</v>
      </c>
      <c r="N8" s="13">
        <v>45917</v>
      </c>
      <c r="P8" s="13">
        <f t="shared" si="3"/>
        <v>45921</v>
      </c>
      <c r="Q8" s="14" t="s">
        <v>37</v>
      </c>
      <c r="R8" s="10" t="s">
        <v>37</v>
      </c>
      <c r="S8" s="10" t="s">
        <v>38</v>
      </c>
      <c r="T8" s="15"/>
      <c r="U8" s="10"/>
      <c r="V8" s="10"/>
      <c r="W8" s="10"/>
      <c r="X8" s="10"/>
      <c r="Y8" s="10"/>
      <c r="Z8" s="10"/>
      <c r="AA8" s="10"/>
      <c r="AB8" s="10"/>
      <c r="AC8" s="10"/>
      <c r="AD8" s="10"/>
      <c r="AE8" s="10"/>
      <c r="AF8" s="10"/>
      <c r="AG8" s="10"/>
      <c r="AH8" s="10"/>
    </row>
    <row r="9" ht="35.25" hidden="1" customHeight="1" spans="1:34">
      <c r="A9" s="10"/>
      <c r="B9" s="10">
        <f>VLOOKUP(C9,[1]Modelos!$B$2:$C$100,2,FALSE)</f>
        <v>0</v>
      </c>
      <c r="C9" s="10" t="s">
        <v>44</v>
      </c>
      <c r="D9" s="80" t="s">
        <v>45</v>
      </c>
      <c r="E9" s="10" t="s">
        <v>36</v>
      </c>
      <c r="F9" s="10"/>
      <c r="G9" s="12">
        <v>489</v>
      </c>
      <c r="H9" s="12">
        <v>249.02</v>
      </c>
      <c r="I9" s="12">
        <f t="shared" si="0"/>
        <v>398.432</v>
      </c>
      <c r="J9" s="12">
        <f t="shared" si="1"/>
        <v>423.334</v>
      </c>
      <c r="K9" s="12">
        <v>630</v>
      </c>
      <c r="L9" s="12">
        <v>0</v>
      </c>
      <c r="M9" s="12">
        <f t="shared" si="2"/>
        <v>380.98</v>
      </c>
      <c r="N9" s="13">
        <v>45917</v>
      </c>
      <c r="P9" s="13">
        <f t="shared" si="3"/>
        <v>45921</v>
      </c>
      <c r="Q9" s="14" t="s">
        <v>37</v>
      </c>
      <c r="R9" s="10" t="s">
        <v>37</v>
      </c>
      <c r="S9" s="10" t="s">
        <v>38</v>
      </c>
      <c r="T9" s="15"/>
      <c r="U9" s="10"/>
      <c r="V9" s="10"/>
      <c r="W9" s="10"/>
      <c r="X9" s="10"/>
      <c r="Y9" s="10"/>
      <c r="Z9" s="10"/>
      <c r="AA9" s="10"/>
      <c r="AB9" s="10"/>
      <c r="AC9" s="10"/>
      <c r="AD9" s="10"/>
      <c r="AE9" s="10"/>
      <c r="AF9" s="10"/>
      <c r="AG9" s="10"/>
      <c r="AH9" s="10"/>
    </row>
    <row r="10" ht="35.25" hidden="1" customHeight="1" spans="1:34">
      <c r="A10" s="10"/>
      <c r="B10" s="10">
        <f>VLOOKUP(C10,[1]Modelos!$B$2:$C$100,2,FALSE)</f>
        <v>0</v>
      </c>
      <c r="C10" s="10" t="s">
        <v>44</v>
      </c>
      <c r="D10" s="80" t="s">
        <v>45</v>
      </c>
      <c r="E10" s="10" t="s">
        <v>36</v>
      </c>
      <c r="F10" s="10"/>
      <c r="G10" s="12">
        <v>489</v>
      </c>
      <c r="H10" s="12">
        <v>249.02</v>
      </c>
      <c r="I10" s="12">
        <f t="shared" si="0"/>
        <v>398.432</v>
      </c>
      <c r="J10" s="12">
        <f t="shared" si="1"/>
        <v>423.334</v>
      </c>
      <c r="K10" s="12">
        <v>630</v>
      </c>
      <c r="L10" s="12">
        <v>0</v>
      </c>
      <c r="M10" s="12">
        <f t="shared" si="2"/>
        <v>380.98</v>
      </c>
      <c r="N10" s="13">
        <v>45917</v>
      </c>
      <c r="P10" s="13">
        <f t="shared" si="3"/>
        <v>45921</v>
      </c>
      <c r="Q10" s="14" t="s">
        <v>37</v>
      </c>
      <c r="R10" s="10" t="s">
        <v>37</v>
      </c>
      <c r="S10" s="10" t="s">
        <v>38</v>
      </c>
      <c r="T10" s="15"/>
      <c r="U10" s="10"/>
      <c r="V10" s="10"/>
      <c r="W10" s="10"/>
      <c r="X10" s="10"/>
      <c r="Y10" s="10"/>
      <c r="Z10" s="10"/>
      <c r="AA10" s="10"/>
      <c r="AB10" s="10"/>
      <c r="AC10" s="10"/>
      <c r="AD10" s="10"/>
      <c r="AE10" s="10"/>
      <c r="AF10" s="10"/>
      <c r="AG10" s="10"/>
      <c r="AH10" s="10"/>
    </row>
    <row r="11" ht="35.25" hidden="1" customHeight="1" spans="1:34">
      <c r="A11" s="10"/>
      <c r="B11" s="10">
        <f>VLOOKUP(C11,[1]Modelos!$B$2:$C$100,2,FALSE)</f>
        <v>0</v>
      </c>
      <c r="C11" s="10" t="s">
        <v>44</v>
      </c>
      <c r="D11" s="80" t="s">
        <v>45</v>
      </c>
      <c r="E11" s="10" t="s">
        <v>36</v>
      </c>
      <c r="F11" s="10"/>
      <c r="G11" s="12">
        <v>489</v>
      </c>
      <c r="H11" s="12">
        <v>249.02</v>
      </c>
      <c r="I11" s="12">
        <f t="shared" si="0"/>
        <v>398.432</v>
      </c>
      <c r="J11" s="12">
        <f t="shared" si="1"/>
        <v>423.334</v>
      </c>
      <c r="K11" s="12">
        <v>630</v>
      </c>
      <c r="L11" s="12">
        <v>0</v>
      </c>
      <c r="M11" s="12">
        <f t="shared" si="2"/>
        <v>380.98</v>
      </c>
      <c r="N11" s="13">
        <v>45917</v>
      </c>
      <c r="P11" s="13">
        <f t="shared" si="3"/>
        <v>45921</v>
      </c>
      <c r="Q11" s="14" t="s">
        <v>37</v>
      </c>
      <c r="R11" s="10" t="s">
        <v>37</v>
      </c>
      <c r="S11" s="10" t="s">
        <v>38</v>
      </c>
      <c r="T11" s="15"/>
      <c r="U11" s="10"/>
      <c r="V11" s="10"/>
      <c r="W11" s="10"/>
      <c r="X11" s="10"/>
      <c r="Y11" s="10"/>
      <c r="Z11" s="10"/>
      <c r="AA11" s="10"/>
      <c r="AB11" s="10"/>
      <c r="AC11" s="10"/>
      <c r="AD11" s="10"/>
      <c r="AE11" s="10"/>
      <c r="AF11" s="10"/>
      <c r="AG11" s="10"/>
      <c r="AH11" s="10"/>
    </row>
    <row r="12" ht="35.25" customHeight="1" spans="1:34">
      <c r="A12" s="9">
        <v>54</v>
      </c>
      <c r="B12" s="10">
        <f>VLOOKUP(C12,[1]Modelos!$B$2:$C$100,2,FALSE)</f>
        <v>0</v>
      </c>
      <c r="C12" s="10" t="s">
        <v>46</v>
      </c>
      <c r="D12" s="79" t="s">
        <v>35</v>
      </c>
      <c r="E12" s="10" t="s">
        <v>36</v>
      </c>
      <c r="F12" s="10"/>
      <c r="G12" s="12">
        <v>1300</v>
      </c>
      <c r="H12" s="12">
        <v>315</v>
      </c>
      <c r="I12" s="12">
        <f t="shared" si="0"/>
        <v>504</v>
      </c>
      <c r="J12" s="12">
        <f t="shared" si="1"/>
        <v>535.5</v>
      </c>
      <c r="K12" s="12">
        <v>690</v>
      </c>
      <c r="L12" s="12">
        <v>0</v>
      </c>
      <c r="M12" s="12">
        <f t="shared" si="2"/>
        <v>375</v>
      </c>
      <c r="N12" s="13">
        <v>45908</v>
      </c>
      <c r="P12" s="13">
        <f t="shared" si="3"/>
        <v>45912</v>
      </c>
      <c r="Q12" s="14" t="s">
        <v>37</v>
      </c>
      <c r="R12" s="10" t="s">
        <v>37</v>
      </c>
      <c r="S12" s="10" t="s">
        <v>38</v>
      </c>
      <c r="T12" s="15"/>
      <c r="U12" s="10"/>
      <c r="V12" s="10"/>
      <c r="W12" s="10"/>
      <c r="X12" s="10"/>
      <c r="Y12" s="10"/>
      <c r="Z12" s="10"/>
      <c r="AA12" s="10"/>
      <c r="AB12" s="10"/>
      <c r="AC12" s="10"/>
      <c r="AD12" s="10"/>
      <c r="AE12" s="10"/>
      <c r="AF12" s="10"/>
      <c r="AG12" s="10"/>
      <c r="AH12" s="10"/>
    </row>
    <row r="13" ht="35.25" customHeight="1" spans="1:34">
      <c r="A13" s="9">
        <v>55</v>
      </c>
      <c r="B13" s="10">
        <f>VLOOKUP(C13,[1]Modelos!$B$2:$C$100,2,FALSE)</f>
        <v>0</v>
      </c>
      <c r="C13" s="10" t="s">
        <v>46</v>
      </c>
      <c r="D13" s="79" t="s">
        <v>35</v>
      </c>
      <c r="E13" s="10" t="s">
        <v>36</v>
      </c>
      <c r="F13" s="10"/>
      <c r="G13" s="12">
        <v>1300</v>
      </c>
      <c r="H13" s="12">
        <v>315</v>
      </c>
      <c r="I13" s="12">
        <f t="shared" si="0"/>
        <v>504</v>
      </c>
      <c r="J13" s="12">
        <f t="shared" si="1"/>
        <v>535.5</v>
      </c>
      <c r="K13" s="12">
        <v>690</v>
      </c>
      <c r="L13" s="12">
        <v>0</v>
      </c>
      <c r="M13" s="12">
        <f t="shared" si="2"/>
        <v>375</v>
      </c>
      <c r="N13" s="13">
        <v>45908</v>
      </c>
      <c r="P13" s="13">
        <f t="shared" si="3"/>
        <v>45912</v>
      </c>
      <c r="Q13" s="14" t="s">
        <v>37</v>
      </c>
      <c r="R13" s="10" t="s">
        <v>37</v>
      </c>
      <c r="S13" s="10" t="s">
        <v>38</v>
      </c>
      <c r="T13" s="15"/>
      <c r="U13" s="10"/>
      <c r="V13" s="10"/>
      <c r="W13" s="10"/>
      <c r="X13" s="10"/>
      <c r="Y13" s="10"/>
      <c r="Z13" s="10"/>
      <c r="AA13" s="10"/>
      <c r="AB13" s="10"/>
      <c r="AC13" s="10"/>
      <c r="AD13" s="10"/>
      <c r="AE13" s="10"/>
      <c r="AF13" s="10"/>
      <c r="AG13" s="10"/>
      <c r="AH13" s="10"/>
    </row>
    <row r="14" ht="35.25" customHeight="1" spans="1:34">
      <c r="A14" s="9">
        <v>55</v>
      </c>
      <c r="B14" s="10">
        <f>VLOOKUP(C14,[1]Modelos!$B$2:$C$100,2,FALSE)</f>
        <v>0</v>
      </c>
      <c r="C14" s="10" t="s">
        <v>46</v>
      </c>
      <c r="D14" s="79" t="s">
        <v>35</v>
      </c>
      <c r="E14" s="10" t="s">
        <v>36</v>
      </c>
      <c r="F14" s="10"/>
      <c r="G14" s="12">
        <v>1300</v>
      </c>
      <c r="H14" s="12">
        <v>315</v>
      </c>
      <c r="I14" s="12">
        <f t="shared" si="0"/>
        <v>504</v>
      </c>
      <c r="J14" s="12">
        <f t="shared" si="1"/>
        <v>535.5</v>
      </c>
      <c r="K14" s="12">
        <v>690</v>
      </c>
      <c r="L14" s="12">
        <v>0</v>
      </c>
      <c r="M14" s="12">
        <f t="shared" si="2"/>
        <v>375</v>
      </c>
      <c r="N14" s="13">
        <v>45908</v>
      </c>
      <c r="P14" s="13">
        <f t="shared" si="3"/>
        <v>45912</v>
      </c>
      <c r="Q14" s="14" t="s">
        <v>37</v>
      </c>
      <c r="R14" s="10" t="s">
        <v>37</v>
      </c>
      <c r="S14" s="10" t="s">
        <v>38</v>
      </c>
      <c r="T14" s="15"/>
      <c r="U14" s="10"/>
      <c r="V14" s="10"/>
      <c r="W14" s="10"/>
      <c r="X14" s="10"/>
      <c r="Y14" s="10"/>
      <c r="Z14" s="10"/>
      <c r="AA14" s="10"/>
      <c r="AB14" s="10"/>
      <c r="AC14" s="10"/>
      <c r="AD14" s="10"/>
      <c r="AE14" s="10"/>
      <c r="AF14" s="10"/>
      <c r="AG14" s="10"/>
      <c r="AH14" s="10"/>
    </row>
    <row r="15" ht="35.25" customHeight="1" spans="1:34">
      <c r="A15" s="10"/>
      <c r="B15" s="10">
        <f>VLOOKUP(C15,[1]Modelos!$B$2:$C$200,2,FALSE)</f>
        <v>0</v>
      </c>
      <c r="C15" s="10" t="s">
        <v>47</v>
      </c>
      <c r="D15" s="79" t="s">
        <v>43</v>
      </c>
      <c r="E15" s="10" t="s">
        <v>36</v>
      </c>
      <c r="F15" s="10"/>
      <c r="G15" s="12">
        <v>0</v>
      </c>
      <c r="H15" s="12">
        <v>0</v>
      </c>
      <c r="I15" s="12">
        <f t="shared" si="0"/>
        <v>0</v>
      </c>
      <c r="J15" s="12">
        <f t="shared" si="1"/>
        <v>0</v>
      </c>
      <c r="K15" s="12">
        <v>0</v>
      </c>
      <c r="L15" s="12">
        <v>0</v>
      </c>
      <c r="M15" s="12">
        <f t="shared" si="2"/>
        <v>0</v>
      </c>
      <c r="N15" s="13">
        <v>45947</v>
      </c>
      <c r="P15" s="13">
        <f t="shared" si="3"/>
        <v>45951</v>
      </c>
      <c r="Q15" s="14" t="s">
        <v>37</v>
      </c>
      <c r="R15" s="10" t="s">
        <v>37</v>
      </c>
      <c r="S15" s="10" t="s">
        <v>38</v>
      </c>
      <c r="T15" s="15"/>
      <c r="U15" s="10"/>
      <c r="V15" s="10"/>
      <c r="W15" s="10"/>
      <c r="X15" s="10"/>
      <c r="Y15" s="10"/>
      <c r="Z15" s="10"/>
      <c r="AA15" s="10"/>
      <c r="AB15" s="10"/>
      <c r="AC15" s="10"/>
      <c r="AD15" s="10"/>
      <c r="AE15" s="10"/>
      <c r="AF15" s="10"/>
      <c r="AG15" s="10"/>
      <c r="AH15" s="10"/>
    </row>
    <row r="16" ht="35.25" customHeight="1" spans="1:34">
      <c r="A16" s="10"/>
      <c r="B16" s="10">
        <f>VLOOKUP(C16,[1]Modelos!$B$2:$C$200,2,FALSE)</f>
        <v>0</v>
      </c>
      <c r="C16" s="10" t="s">
        <v>47</v>
      </c>
      <c r="D16" s="79" t="s">
        <v>35</v>
      </c>
      <c r="E16" s="10" t="s">
        <v>36</v>
      </c>
      <c r="F16" s="10"/>
      <c r="G16" s="12">
        <v>0</v>
      </c>
      <c r="H16" s="12">
        <v>0</v>
      </c>
      <c r="I16" s="12">
        <f t="shared" si="0"/>
        <v>0</v>
      </c>
      <c r="J16" s="12">
        <f t="shared" si="1"/>
        <v>0</v>
      </c>
      <c r="K16" s="12">
        <v>0</v>
      </c>
      <c r="L16" s="12">
        <v>0</v>
      </c>
      <c r="M16" s="12">
        <f t="shared" si="2"/>
        <v>0</v>
      </c>
      <c r="N16" s="13">
        <v>45947</v>
      </c>
      <c r="P16" s="13">
        <f t="shared" si="3"/>
        <v>45951</v>
      </c>
      <c r="Q16" s="14" t="s">
        <v>37</v>
      </c>
      <c r="R16" s="10" t="s">
        <v>37</v>
      </c>
      <c r="S16" s="10" t="s">
        <v>38</v>
      </c>
      <c r="T16" s="15"/>
      <c r="U16" s="10"/>
      <c r="V16" s="10"/>
      <c r="W16" s="10"/>
      <c r="X16" s="10"/>
      <c r="Y16" s="10"/>
      <c r="Z16" s="10"/>
      <c r="AA16" s="10"/>
      <c r="AB16" s="10"/>
      <c r="AC16" s="10"/>
      <c r="AD16" s="10"/>
      <c r="AE16" s="10"/>
      <c r="AF16" s="10"/>
      <c r="AG16" s="10"/>
      <c r="AH16" s="10"/>
    </row>
    <row r="17" ht="35.25" hidden="1" customHeight="1" spans="1:34">
      <c r="A17" s="10"/>
      <c r="B17" s="10">
        <f>VLOOKUP(C17,[1]Modelos!$B$2:$C$200,2,FALSE)</f>
        <v>0</v>
      </c>
      <c r="C17" s="10" t="s">
        <v>48</v>
      </c>
      <c r="D17" s="80" t="s">
        <v>39</v>
      </c>
      <c r="E17" s="10" t="s">
        <v>36</v>
      </c>
      <c r="F17" s="10"/>
      <c r="G17" s="12">
        <v>0</v>
      </c>
      <c r="H17" s="12">
        <v>0</v>
      </c>
      <c r="I17" s="12">
        <f t="shared" si="0"/>
        <v>0</v>
      </c>
      <c r="J17" s="12">
        <f t="shared" si="1"/>
        <v>0</v>
      </c>
      <c r="K17" s="12">
        <v>0</v>
      </c>
      <c r="L17" s="12">
        <v>0</v>
      </c>
      <c r="M17" s="12">
        <f t="shared" si="2"/>
        <v>0</v>
      </c>
      <c r="N17" s="13">
        <v>45947</v>
      </c>
      <c r="P17" s="13">
        <f t="shared" si="3"/>
        <v>45951</v>
      </c>
      <c r="Q17" s="14" t="s">
        <v>37</v>
      </c>
      <c r="R17" s="10" t="s">
        <v>37</v>
      </c>
      <c r="S17" s="10" t="s">
        <v>38</v>
      </c>
      <c r="T17" s="15"/>
      <c r="U17" s="10"/>
      <c r="V17" s="10"/>
      <c r="W17" s="10"/>
      <c r="X17" s="10"/>
      <c r="Y17" s="10"/>
      <c r="Z17" s="10"/>
      <c r="AA17" s="10"/>
      <c r="AB17" s="10"/>
      <c r="AC17" s="10"/>
      <c r="AD17" s="10"/>
      <c r="AE17" s="10"/>
      <c r="AF17" s="10"/>
      <c r="AG17" s="10"/>
      <c r="AH17" s="10"/>
    </row>
    <row r="18" ht="35.25" customHeight="1" spans="1:34">
      <c r="A18" s="10"/>
      <c r="B18" s="10">
        <f>VLOOKUP(C18,[1]Modelos!$B$2:$C$200,2,FALSE)</f>
        <v>0</v>
      </c>
      <c r="C18" s="10" t="s">
        <v>48</v>
      </c>
      <c r="D18" s="79" t="s">
        <v>35</v>
      </c>
      <c r="E18" s="10" t="s">
        <v>36</v>
      </c>
      <c r="F18" s="10"/>
      <c r="G18" s="12">
        <v>0</v>
      </c>
      <c r="H18" s="12">
        <v>0</v>
      </c>
      <c r="I18" s="12">
        <f t="shared" si="0"/>
        <v>0</v>
      </c>
      <c r="J18" s="12">
        <f t="shared" si="1"/>
        <v>0</v>
      </c>
      <c r="K18" s="12">
        <v>0</v>
      </c>
      <c r="L18" s="12">
        <v>0</v>
      </c>
      <c r="M18" s="12">
        <f t="shared" si="2"/>
        <v>0</v>
      </c>
      <c r="N18" s="13">
        <v>45947</v>
      </c>
      <c r="P18" s="13">
        <f t="shared" si="3"/>
        <v>45951</v>
      </c>
      <c r="Q18" s="14" t="s">
        <v>37</v>
      </c>
      <c r="R18" s="10" t="s">
        <v>37</v>
      </c>
      <c r="S18" s="10" t="s">
        <v>38</v>
      </c>
      <c r="T18" s="15"/>
      <c r="U18" s="10"/>
      <c r="V18" s="10"/>
      <c r="W18" s="10"/>
      <c r="X18" s="10"/>
      <c r="Y18" s="10"/>
      <c r="Z18" s="10"/>
      <c r="AA18" s="10"/>
      <c r="AB18" s="10"/>
      <c r="AC18" s="10"/>
      <c r="AD18" s="10"/>
      <c r="AE18" s="10"/>
      <c r="AF18" s="10"/>
      <c r="AG18" s="10"/>
      <c r="AH18" s="10"/>
    </row>
    <row r="19" ht="35.25" customHeight="1" spans="1:34">
      <c r="A19" s="10"/>
      <c r="B19" s="10">
        <f>VLOOKUP(C19,[1]Modelos!$B$2:$C$200,2,FALSE)</f>
        <v>0</v>
      </c>
      <c r="C19" s="10" t="s">
        <v>49</v>
      </c>
      <c r="D19" s="79" t="s">
        <v>50</v>
      </c>
      <c r="E19" s="10" t="s">
        <v>36</v>
      </c>
      <c r="F19" s="10"/>
      <c r="G19" s="12">
        <v>0</v>
      </c>
      <c r="H19" s="12">
        <v>0</v>
      </c>
      <c r="I19" s="12">
        <f t="shared" si="0"/>
        <v>0</v>
      </c>
      <c r="J19" s="12">
        <f t="shared" si="1"/>
        <v>0</v>
      </c>
      <c r="K19" s="12">
        <v>0</v>
      </c>
      <c r="L19" s="12">
        <v>0</v>
      </c>
      <c r="M19" s="12">
        <f t="shared" si="2"/>
        <v>0</v>
      </c>
      <c r="N19" s="13">
        <v>45947</v>
      </c>
      <c r="P19" s="13">
        <f t="shared" si="3"/>
        <v>45951</v>
      </c>
      <c r="Q19" s="14" t="s">
        <v>37</v>
      </c>
      <c r="R19" s="10" t="s">
        <v>37</v>
      </c>
      <c r="S19" s="10" t="s">
        <v>38</v>
      </c>
      <c r="T19" s="15"/>
      <c r="U19" s="10"/>
      <c r="V19" s="10"/>
      <c r="W19" s="10"/>
      <c r="X19" s="10"/>
      <c r="Y19" s="10"/>
      <c r="Z19" s="10"/>
      <c r="AA19" s="10"/>
      <c r="AB19" s="10"/>
      <c r="AC19" s="10"/>
      <c r="AD19" s="10"/>
      <c r="AE19" s="10"/>
      <c r="AF19" s="10"/>
      <c r="AG19" s="10"/>
      <c r="AH19" s="10"/>
    </row>
    <row r="20" ht="35.25" hidden="1" customHeight="1" spans="1:34">
      <c r="A20" s="10"/>
      <c r="B20" s="10">
        <f>VLOOKUP(C20,[1]Modelos!$B$2:$C$200,2,FALSE)</f>
        <v>0</v>
      </c>
      <c r="C20" s="10" t="s">
        <v>49</v>
      </c>
      <c r="D20" s="80" t="s">
        <v>39</v>
      </c>
      <c r="E20" s="10" t="s">
        <v>36</v>
      </c>
      <c r="F20" s="10"/>
      <c r="G20" s="12">
        <v>0</v>
      </c>
      <c r="H20" s="12">
        <v>0</v>
      </c>
      <c r="I20" s="12">
        <f t="shared" si="0"/>
        <v>0</v>
      </c>
      <c r="J20" s="12">
        <f t="shared" si="1"/>
        <v>0</v>
      </c>
      <c r="K20" s="12">
        <v>0</v>
      </c>
      <c r="L20" s="12">
        <v>0</v>
      </c>
      <c r="M20" s="12">
        <f t="shared" si="2"/>
        <v>0</v>
      </c>
      <c r="N20" s="13">
        <v>45947</v>
      </c>
      <c r="P20" s="13">
        <f t="shared" si="3"/>
        <v>45951</v>
      </c>
      <c r="Q20" s="14" t="s">
        <v>37</v>
      </c>
      <c r="R20" s="10" t="s">
        <v>37</v>
      </c>
      <c r="S20" s="10" t="s">
        <v>38</v>
      </c>
      <c r="T20" s="15"/>
      <c r="U20" s="10"/>
      <c r="V20" s="10"/>
      <c r="W20" s="10"/>
      <c r="X20" s="10"/>
      <c r="Y20" s="10"/>
      <c r="Z20" s="10"/>
      <c r="AA20" s="10"/>
      <c r="AB20" s="10"/>
      <c r="AC20" s="10"/>
      <c r="AD20" s="10"/>
      <c r="AE20" s="10"/>
      <c r="AF20" s="10"/>
      <c r="AG20" s="10"/>
      <c r="AH20" s="10"/>
    </row>
    <row r="21" ht="35.25" customHeight="1" spans="1:34">
      <c r="A21" s="10"/>
      <c r="B21" s="10">
        <f>VLOOKUP(C21,[1]Modelos!$B$2:$C$200,2,FALSE)</f>
        <v>0</v>
      </c>
      <c r="C21" s="10" t="s">
        <v>49</v>
      </c>
      <c r="D21" s="79" t="s">
        <v>50</v>
      </c>
      <c r="E21" s="10" t="s">
        <v>36</v>
      </c>
      <c r="F21" s="10"/>
      <c r="G21" s="12">
        <v>0</v>
      </c>
      <c r="H21" s="12">
        <v>0</v>
      </c>
      <c r="I21" s="12">
        <f t="shared" si="0"/>
        <v>0</v>
      </c>
      <c r="J21" s="12">
        <f t="shared" si="1"/>
        <v>0</v>
      </c>
      <c r="K21" s="12">
        <v>0</v>
      </c>
      <c r="L21" s="12">
        <v>0</v>
      </c>
      <c r="M21" s="12">
        <f t="shared" si="2"/>
        <v>0</v>
      </c>
      <c r="N21" s="13">
        <v>45947</v>
      </c>
      <c r="P21" s="13">
        <f t="shared" si="3"/>
        <v>45951</v>
      </c>
      <c r="Q21" s="14" t="s">
        <v>37</v>
      </c>
      <c r="R21" s="10" t="s">
        <v>37</v>
      </c>
      <c r="S21" s="10" t="s">
        <v>38</v>
      </c>
      <c r="T21" s="15"/>
      <c r="U21" s="10"/>
      <c r="V21" s="10"/>
      <c r="W21" s="10"/>
      <c r="X21" s="10"/>
      <c r="Y21" s="10"/>
      <c r="Z21" s="10"/>
      <c r="AA21" s="10"/>
      <c r="AB21" s="10"/>
      <c r="AC21" s="10"/>
      <c r="AD21" s="10"/>
      <c r="AE21" s="10"/>
      <c r="AF21" s="10"/>
      <c r="AG21" s="10"/>
      <c r="AH21" s="10"/>
    </row>
    <row r="22" ht="35.25" customHeight="1" spans="1:34">
      <c r="A22" s="10"/>
      <c r="B22" s="10">
        <f>VLOOKUP(C22,[1]Modelos!$B$2:$C$100,2,FALSE)</f>
        <v>0</v>
      </c>
      <c r="C22" s="10" t="s">
        <v>51</v>
      </c>
      <c r="D22" s="79" t="s">
        <v>52</v>
      </c>
      <c r="E22" s="10" t="s">
        <v>36</v>
      </c>
      <c r="F22" s="10"/>
      <c r="G22" s="12">
        <v>1129.9</v>
      </c>
      <c r="H22" s="12">
        <v>316.37</v>
      </c>
      <c r="I22" s="12">
        <f t="shared" si="0"/>
        <v>506.192</v>
      </c>
      <c r="J22" s="12">
        <f t="shared" si="1"/>
        <v>537.829</v>
      </c>
      <c r="K22" s="12">
        <v>630</v>
      </c>
      <c r="L22" s="12">
        <v>0</v>
      </c>
      <c r="M22" s="12">
        <f t="shared" si="2"/>
        <v>313.63</v>
      </c>
      <c r="N22" s="13">
        <v>45917</v>
      </c>
      <c r="P22" s="13">
        <f t="shared" si="3"/>
        <v>45921</v>
      </c>
      <c r="Q22" s="14" t="s">
        <v>37</v>
      </c>
      <c r="R22" s="10" t="s">
        <v>37</v>
      </c>
      <c r="S22" s="10" t="s">
        <v>38</v>
      </c>
      <c r="T22" s="15"/>
      <c r="U22" s="10"/>
      <c r="V22" s="10"/>
      <c r="W22" s="10"/>
      <c r="X22" s="10"/>
      <c r="Y22" s="10"/>
      <c r="Z22" s="10"/>
      <c r="AA22" s="10"/>
      <c r="AB22" s="10"/>
      <c r="AC22" s="10"/>
      <c r="AD22" s="10"/>
      <c r="AE22" s="10"/>
      <c r="AF22" s="10"/>
      <c r="AG22" s="10"/>
      <c r="AH22" s="10"/>
    </row>
    <row r="23" ht="35.25" customHeight="1" spans="1:34">
      <c r="A23" s="10"/>
      <c r="B23" s="10">
        <f>VLOOKUP(C23,[1]Modelos!$B$2:$C$100,2,FALSE)</f>
        <v>0</v>
      </c>
      <c r="C23" s="10" t="s">
        <v>51</v>
      </c>
      <c r="D23" s="79" t="s">
        <v>52</v>
      </c>
      <c r="E23" s="10" t="s">
        <v>36</v>
      </c>
      <c r="F23" s="10"/>
      <c r="G23" s="12">
        <v>1129.9</v>
      </c>
      <c r="H23" s="12">
        <v>316.37</v>
      </c>
      <c r="I23" s="12">
        <f t="shared" si="0"/>
        <v>506.192</v>
      </c>
      <c r="J23" s="12">
        <f t="shared" si="1"/>
        <v>537.829</v>
      </c>
      <c r="K23" s="12">
        <v>630</v>
      </c>
      <c r="L23" s="12">
        <v>0</v>
      </c>
      <c r="M23" s="12">
        <f t="shared" si="2"/>
        <v>313.63</v>
      </c>
      <c r="N23" s="13">
        <v>45917</v>
      </c>
      <c r="P23" s="13">
        <f t="shared" si="3"/>
        <v>45921</v>
      </c>
      <c r="Q23" s="14" t="s">
        <v>37</v>
      </c>
      <c r="R23" s="10" t="s">
        <v>37</v>
      </c>
      <c r="S23" s="10" t="s">
        <v>38</v>
      </c>
      <c r="T23" s="15"/>
      <c r="U23" s="10"/>
      <c r="V23" s="10"/>
      <c r="W23" s="10"/>
      <c r="X23" s="10"/>
      <c r="Y23" s="10"/>
      <c r="Z23" s="10"/>
      <c r="AA23" s="10"/>
      <c r="AB23" s="10"/>
      <c r="AC23" s="10"/>
      <c r="AD23" s="10"/>
      <c r="AE23" s="10"/>
      <c r="AF23" s="10"/>
      <c r="AG23" s="10"/>
      <c r="AH23" s="10"/>
    </row>
    <row r="24" ht="35.25" hidden="1" customHeight="1" spans="1:34">
      <c r="A24" s="10"/>
      <c r="B24" s="10">
        <f>VLOOKUP(C24,[1]Modelos!$B$2:$C$100,2,FALSE)</f>
        <v>0</v>
      </c>
      <c r="C24" s="10" t="s">
        <v>51</v>
      </c>
      <c r="D24" s="80" t="s">
        <v>53</v>
      </c>
      <c r="E24" s="10" t="s">
        <v>36</v>
      </c>
      <c r="F24" s="10"/>
      <c r="G24" s="12">
        <v>1129.9</v>
      </c>
      <c r="H24" s="12">
        <v>316.37</v>
      </c>
      <c r="I24" s="12">
        <f t="shared" si="0"/>
        <v>506.192</v>
      </c>
      <c r="J24" s="12">
        <f t="shared" si="1"/>
        <v>537.829</v>
      </c>
      <c r="K24" s="12">
        <v>630</v>
      </c>
      <c r="L24" s="12">
        <v>0</v>
      </c>
      <c r="M24" s="12">
        <f t="shared" si="2"/>
        <v>313.63</v>
      </c>
      <c r="N24" s="13">
        <v>45917</v>
      </c>
      <c r="P24" s="13">
        <f t="shared" si="3"/>
        <v>45921</v>
      </c>
      <c r="Q24" s="14" t="s">
        <v>37</v>
      </c>
      <c r="R24" s="10" t="s">
        <v>37</v>
      </c>
      <c r="S24" s="10" t="s">
        <v>38</v>
      </c>
      <c r="T24" s="15"/>
      <c r="U24" s="10"/>
      <c r="V24" s="10"/>
      <c r="W24" s="10"/>
      <c r="X24" s="10"/>
      <c r="Y24" s="10"/>
      <c r="Z24" s="10"/>
      <c r="AA24" s="10"/>
      <c r="AB24" s="10"/>
      <c r="AC24" s="10"/>
      <c r="AD24" s="10"/>
      <c r="AE24" s="10"/>
      <c r="AF24" s="10"/>
      <c r="AG24" s="10"/>
      <c r="AH24" s="10"/>
    </row>
    <row r="25" ht="35.25" customHeight="1" spans="1:34">
      <c r="A25" s="9"/>
      <c r="B25" s="10">
        <f>VLOOKUP(C25,[1]Modelos!$B$2:$C$100,2,FALSE)</f>
        <v>0</v>
      </c>
      <c r="C25" s="10" t="s">
        <v>54</v>
      </c>
      <c r="D25" s="79" t="s">
        <v>35</v>
      </c>
      <c r="E25" s="10" t="s">
        <v>36</v>
      </c>
      <c r="F25" s="10"/>
      <c r="G25" s="12">
        <v>1299.9</v>
      </c>
      <c r="H25" s="12">
        <v>499.03</v>
      </c>
      <c r="I25" s="12">
        <f t="shared" si="0"/>
        <v>798.448</v>
      </c>
      <c r="J25" s="12">
        <f t="shared" si="1"/>
        <v>848.351</v>
      </c>
      <c r="K25" s="12">
        <v>0</v>
      </c>
      <c r="L25" s="12">
        <v>0</v>
      </c>
      <c r="M25" s="12">
        <f t="shared" si="2"/>
        <v>-499.03</v>
      </c>
      <c r="N25" s="13">
        <v>45917</v>
      </c>
      <c r="P25" s="13">
        <f t="shared" si="3"/>
        <v>45921</v>
      </c>
      <c r="Q25" s="14" t="s">
        <v>37</v>
      </c>
      <c r="R25" s="10" t="s">
        <v>37</v>
      </c>
      <c r="S25" s="10" t="s">
        <v>38</v>
      </c>
      <c r="T25" s="15"/>
      <c r="U25" s="10"/>
      <c r="V25" s="10"/>
      <c r="W25" s="10"/>
      <c r="X25" s="10"/>
      <c r="Y25" s="10"/>
      <c r="Z25" s="10"/>
      <c r="AA25" s="10"/>
      <c r="AB25" s="10"/>
      <c r="AC25" s="10"/>
      <c r="AD25" s="10"/>
      <c r="AE25" s="10"/>
      <c r="AF25" s="10"/>
      <c r="AG25" s="10"/>
      <c r="AH25" s="10"/>
    </row>
    <row r="26" ht="35.25" customHeight="1" spans="1:34">
      <c r="A26" s="9">
        <v>60</v>
      </c>
      <c r="B26" s="10">
        <f>VLOOKUP(C26,[1]Modelos!$B$2:$C$100,2,FALSE)</f>
        <v>0</v>
      </c>
      <c r="C26" s="10" t="s">
        <v>55</v>
      </c>
      <c r="D26" s="79" t="s">
        <v>56</v>
      </c>
      <c r="E26" s="10" t="s">
        <v>36</v>
      </c>
      <c r="F26" s="10"/>
      <c r="G26" s="12">
        <v>1300</v>
      </c>
      <c r="H26" s="12">
        <v>380</v>
      </c>
      <c r="I26" s="12">
        <f t="shared" si="0"/>
        <v>608</v>
      </c>
      <c r="J26" s="12">
        <f t="shared" si="1"/>
        <v>646</v>
      </c>
      <c r="K26" s="12">
        <v>730</v>
      </c>
      <c r="L26" s="12">
        <v>0</v>
      </c>
      <c r="M26" s="12">
        <f t="shared" si="2"/>
        <v>350</v>
      </c>
      <c r="N26" s="13">
        <v>45908</v>
      </c>
      <c r="P26" s="13">
        <f t="shared" si="3"/>
        <v>45912</v>
      </c>
      <c r="Q26" s="14" t="s">
        <v>37</v>
      </c>
      <c r="R26" s="10" t="s">
        <v>37</v>
      </c>
      <c r="S26" s="10" t="s">
        <v>38</v>
      </c>
      <c r="T26" s="15"/>
      <c r="U26" s="10"/>
      <c r="V26" s="10"/>
      <c r="W26" s="10"/>
      <c r="X26" s="10"/>
      <c r="Y26" s="10"/>
      <c r="Z26" s="10"/>
      <c r="AA26" s="10"/>
      <c r="AB26" s="10"/>
      <c r="AC26" s="10"/>
      <c r="AD26" s="10"/>
      <c r="AE26" s="10"/>
      <c r="AF26" s="10"/>
      <c r="AG26" s="10"/>
      <c r="AH26" s="10"/>
    </row>
    <row r="27" ht="35.25" customHeight="1" spans="1:34">
      <c r="A27" s="9">
        <v>60</v>
      </c>
      <c r="B27" s="10">
        <f>VLOOKUP(C27,[1]Modelos!$B$2:$C$100,2,FALSE)</f>
        <v>0</v>
      </c>
      <c r="C27" s="10" t="s">
        <v>55</v>
      </c>
      <c r="D27" s="79" t="s">
        <v>56</v>
      </c>
      <c r="E27" s="10" t="s">
        <v>36</v>
      </c>
      <c r="F27" s="10"/>
      <c r="G27" s="12">
        <v>1300</v>
      </c>
      <c r="H27" s="12">
        <v>380</v>
      </c>
      <c r="I27" s="12">
        <f t="shared" si="0"/>
        <v>608</v>
      </c>
      <c r="J27" s="12">
        <f t="shared" si="1"/>
        <v>646</v>
      </c>
      <c r="K27" s="12">
        <v>730</v>
      </c>
      <c r="L27" s="12">
        <v>0</v>
      </c>
      <c r="M27" s="12">
        <f t="shared" si="2"/>
        <v>350</v>
      </c>
      <c r="N27" s="13">
        <v>45908</v>
      </c>
      <c r="P27" s="13">
        <f t="shared" si="3"/>
        <v>45912</v>
      </c>
      <c r="Q27" s="14" t="s">
        <v>37</v>
      </c>
      <c r="R27" s="10" t="s">
        <v>37</v>
      </c>
      <c r="S27" s="10" t="s">
        <v>38</v>
      </c>
      <c r="T27" s="15"/>
      <c r="U27" s="10"/>
      <c r="V27" s="10"/>
      <c r="W27" s="10"/>
      <c r="X27" s="10"/>
      <c r="Y27" s="10"/>
      <c r="Z27" s="10"/>
      <c r="AA27" s="10"/>
      <c r="AB27" s="10"/>
      <c r="AC27" s="10"/>
      <c r="AD27" s="10"/>
      <c r="AE27" s="10"/>
      <c r="AF27" s="10"/>
      <c r="AG27" s="10"/>
      <c r="AH27" s="10"/>
    </row>
    <row r="28" ht="35.25" customHeight="1" spans="1:34">
      <c r="A28" s="9"/>
      <c r="B28" s="10">
        <f>VLOOKUP(C28,[1]Modelos!$B$2:$C$100,2,FALSE)</f>
        <v>0</v>
      </c>
      <c r="C28" s="10" t="s">
        <v>57</v>
      </c>
      <c r="D28" s="79" t="s">
        <v>56</v>
      </c>
      <c r="E28" s="10" t="s">
        <v>36</v>
      </c>
      <c r="F28" s="10"/>
      <c r="G28" s="12">
        <v>1200</v>
      </c>
      <c r="H28" s="12">
        <v>390</v>
      </c>
      <c r="I28" s="12">
        <f t="shared" si="0"/>
        <v>624</v>
      </c>
      <c r="J28" s="12">
        <f t="shared" si="1"/>
        <v>663</v>
      </c>
      <c r="K28" s="12">
        <v>690</v>
      </c>
      <c r="L28" s="12">
        <v>0</v>
      </c>
      <c r="M28" s="12">
        <f t="shared" si="2"/>
        <v>300</v>
      </c>
      <c r="N28" s="13">
        <v>45917</v>
      </c>
      <c r="P28" s="13">
        <f t="shared" si="3"/>
        <v>45921</v>
      </c>
      <c r="Q28" s="14" t="s">
        <v>37</v>
      </c>
      <c r="R28" s="10" t="s">
        <v>37</v>
      </c>
      <c r="S28" s="10" t="s">
        <v>38</v>
      </c>
      <c r="T28" s="15"/>
      <c r="U28" s="10"/>
      <c r="V28" s="10"/>
      <c r="W28" s="10"/>
      <c r="X28" s="10"/>
      <c r="Y28" s="10"/>
      <c r="Z28" s="10"/>
      <c r="AA28" s="10"/>
      <c r="AB28" s="10"/>
      <c r="AC28" s="10"/>
      <c r="AD28" s="10"/>
      <c r="AE28" s="10"/>
      <c r="AF28" s="10"/>
      <c r="AG28" s="10"/>
      <c r="AH28" s="10"/>
    </row>
    <row r="29" ht="35.25" customHeight="1" spans="1:34">
      <c r="A29" s="9"/>
      <c r="B29" s="10">
        <f>VLOOKUP(C29,[1]Modelos!$B$2:$C$100,2,FALSE)</f>
        <v>0</v>
      </c>
      <c r="C29" s="10" t="s">
        <v>57</v>
      </c>
      <c r="D29" s="79" t="s">
        <v>50</v>
      </c>
      <c r="E29" s="10" t="s">
        <v>36</v>
      </c>
      <c r="F29" s="10"/>
      <c r="G29" s="12">
        <v>1200</v>
      </c>
      <c r="H29" s="12">
        <v>390</v>
      </c>
      <c r="I29" s="12">
        <f t="shared" si="0"/>
        <v>624</v>
      </c>
      <c r="J29" s="12">
        <f t="shared" si="1"/>
        <v>663</v>
      </c>
      <c r="K29" s="12">
        <v>690</v>
      </c>
      <c r="L29" s="12">
        <v>0</v>
      </c>
      <c r="M29" s="12">
        <f t="shared" si="2"/>
        <v>300</v>
      </c>
      <c r="N29" s="13">
        <v>45917</v>
      </c>
      <c r="P29" s="13">
        <f t="shared" si="3"/>
        <v>45921</v>
      </c>
      <c r="Q29" s="14" t="s">
        <v>37</v>
      </c>
      <c r="R29" s="10" t="s">
        <v>37</v>
      </c>
      <c r="S29" s="10" t="s">
        <v>38</v>
      </c>
      <c r="T29" s="15"/>
      <c r="U29" s="10"/>
      <c r="V29" s="10"/>
      <c r="W29" s="10"/>
      <c r="X29" s="10"/>
      <c r="Y29" s="10"/>
      <c r="Z29" s="10"/>
      <c r="AA29" s="10"/>
      <c r="AB29" s="10"/>
      <c r="AC29" s="10"/>
      <c r="AD29" s="10"/>
      <c r="AE29" s="10"/>
      <c r="AF29" s="10"/>
      <c r="AG29" s="10"/>
      <c r="AH29" s="10"/>
    </row>
    <row r="30" ht="35.25" hidden="1" customHeight="1" spans="1:34">
      <c r="A30" s="9"/>
      <c r="B30" s="10">
        <f>VLOOKUP(C30,[1]Modelos!$B$2:$C$100,2,FALSE)</f>
        <v>0</v>
      </c>
      <c r="C30" s="10" t="s">
        <v>58</v>
      </c>
      <c r="D30" s="80" t="s">
        <v>59</v>
      </c>
      <c r="E30" s="10" t="s">
        <v>36</v>
      </c>
      <c r="F30" s="10"/>
      <c r="G30" s="12">
        <v>1399.9</v>
      </c>
      <c r="H30" s="12">
        <v>543.57</v>
      </c>
      <c r="I30" s="12">
        <f t="shared" si="0"/>
        <v>869.712</v>
      </c>
      <c r="J30" s="12">
        <f t="shared" si="1"/>
        <v>924.069</v>
      </c>
      <c r="K30" s="12">
        <v>0</v>
      </c>
      <c r="L30" s="12">
        <v>0</v>
      </c>
      <c r="M30" s="12">
        <f t="shared" si="2"/>
        <v>-543.57</v>
      </c>
      <c r="N30" s="13">
        <v>45917</v>
      </c>
      <c r="P30" s="13">
        <f t="shared" si="3"/>
        <v>45921</v>
      </c>
      <c r="Q30" s="14" t="s">
        <v>37</v>
      </c>
      <c r="R30" s="10" t="s">
        <v>37</v>
      </c>
      <c r="S30" s="10" t="s">
        <v>38</v>
      </c>
      <c r="T30" s="15"/>
      <c r="U30" s="10"/>
      <c r="V30" s="10"/>
      <c r="W30" s="10"/>
      <c r="X30" s="10"/>
      <c r="Y30" s="10"/>
      <c r="Z30" s="10"/>
      <c r="AA30" s="10"/>
      <c r="AB30" s="10"/>
      <c r="AC30" s="10"/>
      <c r="AD30" s="10"/>
      <c r="AE30" s="10"/>
      <c r="AF30" s="10"/>
      <c r="AG30" s="10"/>
      <c r="AH30" s="10"/>
    </row>
    <row r="31" ht="35.25" hidden="1" customHeight="1" spans="1:34">
      <c r="A31" s="9"/>
      <c r="B31" s="10">
        <f>VLOOKUP(C31,[1]Modelos!$B$2:$C$100,2,FALSE)</f>
        <v>0</v>
      </c>
      <c r="C31" s="10" t="s">
        <v>58</v>
      </c>
      <c r="D31" s="80" t="s">
        <v>60</v>
      </c>
      <c r="E31" s="10" t="s">
        <v>36</v>
      </c>
      <c r="F31" s="10"/>
      <c r="G31" s="12">
        <v>1399.9</v>
      </c>
      <c r="H31" s="12">
        <v>543.57</v>
      </c>
      <c r="I31" s="12">
        <f t="shared" si="0"/>
        <v>869.712</v>
      </c>
      <c r="J31" s="12">
        <f t="shared" si="1"/>
        <v>924.069</v>
      </c>
      <c r="K31" s="12">
        <v>0</v>
      </c>
      <c r="L31" s="12">
        <v>0</v>
      </c>
      <c r="M31" s="12">
        <f t="shared" si="2"/>
        <v>-543.57</v>
      </c>
      <c r="N31" s="13">
        <v>45917</v>
      </c>
      <c r="P31" s="13">
        <f t="shared" si="3"/>
        <v>45921</v>
      </c>
      <c r="Q31" s="14" t="s">
        <v>37</v>
      </c>
      <c r="R31" s="10" t="s">
        <v>37</v>
      </c>
      <c r="S31" s="10" t="s">
        <v>38</v>
      </c>
      <c r="T31" s="15"/>
      <c r="U31" s="10"/>
      <c r="V31" s="10"/>
      <c r="W31" s="10"/>
      <c r="X31" s="10"/>
      <c r="Y31" s="10"/>
      <c r="Z31" s="10"/>
      <c r="AA31" s="10"/>
      <c r="AB31" s="10"/>
      <c r="AC31" s="10"/>
      <c r="AD31" s="10"/>
      <c r="AE31" s="10"/>
      <c r="AF31" s="10"/>
      <c r="AG31" s="10"/>
      <c r="AH31" s="10"/>
    </row>
    <row r="32" ht="35.25" customHeight="1" spans="1:34">
      <c r="A32" s="9"/>
      <c r="B32" s="10">
        <f>VLOOKUP(C32,[1]Modelos!$B$2:$C$100,2,FALSE)</f>
        <v>0</v>
      </c>
      <c r="C32" s="10" t="s">
        <v>58</v>
      </c>
      <c r="D32" s="79" t="s">
        <v>41</v>
      </c>
      <c r="E32" s="10" t="s">
        <v>36</v>
      </c>
      <c r="F32" s="10"/>
      <c r="G32" s="12">
        <v>1399.9</v>
      </c>
      <c r="H32" s="12">
        <v>543.57</v>
      </c>
      <c r="I32" s="12">
        <f t="shared" si="0"/>
        <v>869.712</v>
      </c>
      <c r="J32" s="12">
        <f t="shared" si="1"/>
        <v>924.069</v>
      </c>
      <c r="K32" s="12">
        <v>0</v>
      </c>
      <c r="L32" s="12">
        <v>0</v>
      </c>
      <c r="M32" s="12">
        <f t="shared" si="2"/>
        <v>-543.57</v>
      </c>
      <c r="N32" s="13">
        <v>45917</v>
      </c>
      <c r="P32" s="13">
        <f t="shared" si="3"/>
        <v>45921</v>
      </c>
      <c r="Q32" s="14" t="s">
        <v>37</v>
      </c>
      <c r="R32" s="10" t="s">
        <v>37</v>
      </c>
      <c r="S32" s="10" t="s">
        <v>38</v>
      </c>
      <c r="T32" s="15"/>
      <c r="U32" s="10"/>
      <c r="V32" s="10"/>
      <c r="W32" s="10"/>
      <c r="X32" s="10"/>
      <c r="Y32" s="10"/>
      <c r="Z32" s="10"/>
      <c r="AA32" s="10"/>
      <c r="AB32" s="10"/>
      <c r="AC32" s="10"/>
      <c r="AD32" s="10"/>
      <c r="AE32" s="10"/>
      <c r="AF32" s="10"/>
      <c r="AG32" s="10"/>
      <c r="AH32" s="10"/>
    </row>
    <row r="33" ht="35.25" customHeight="1" spans="1:34">
      <c r="A33" s="17"/>
      <c r="B33" s="10">
        <f>VLOOKUP(C33,[1]Modelos!$B$2:$C$200,2,FALSE)</f>
        <v>0</v>
      </c>
      <c r="C33" s="18" t="s">
        <v>61</v>
      </c>
      <c r="D33" s="81" t="s">
        <v>41</v>
      </c>
      <c r="E33" s="20" t="s">
        <v>36</v>
      </c>
      <c r="F33" s="10"/>
      <c r="G33" s="12">
        <v>0</v>
      </c>
      <c r="H33" s="12">
        <v>0</v>
      </c>
      <c r="I33" s="21">
        <f t="shared" si="0"/>
        <v>0</v>
      </c>
      <c r="J33" s="21">
        <f t="shared" si="1"/>
        <v>0</v>
      </c>
      <c r="K33" s="21">
        <v>0</v>
      </c>
      <c r="L33" s="21">
        <v>0</v>
      </c>
      <c r="M33" s="21">
        <f t="shared" si="2"/>
        <v>0</v>
      </c>
      <c r="N33" s="22">
        <v>45947</v>
      </c>
      <c r="O33" s="18"/>
      <c r="P33" s="22">
        <f t="shared" si="3"/>
        <v>45951</v>
      </c>
      <c r="Q33" s="23" t="s">
        <v>37</v>
      </c>
      <c r="R33" s="18" t="s">
        <v>37</v>
      </c>
      <c r="S33" s="24" t="s">
        <v>38</v>
      </c>
      <c r="T33" s="15"/>
      <c r="U33" s="10"/>
      <c r="V33" s="10"/>
      <c r="W33" s="10"/>
      <c r="X33" s="10"/>
      <c r="Y33" s="10"/>
      <c r="Z33" s="10"/>
      <c r="AA33" s="10"/>
      <c r="AB33" s="10"/>
      <c r="AC33" s="10"/>
      <c r="AD33" s="10"/>
      <c r="AE33" s="10"/>
      <c r="AF33" s="10"/>
      <c r="AG33" s="10"/>
      <c r="AH33" s="10"/>
    </row>
    <row r="34" ht="35.25" customHeight="1" spans="1:34">
      <c r="A34" s="17"/>
      <c r="B34" s="10">
        <f>VLOOKUP(C34,[1]Modelos!$B$2:$C$200,2,FALSE)</f>
        <v>0</v>
      </c>
      <c r="C34" s="18" t="s">
        <v>61</v>
      </c>
      <c r="D34" s="81" t="s">
        <v>50</v>
      </c>
      <c r="E34" s="20" t="s">
        <v>36</v>
      </c>
      <c r="F34" s="10"/>
      <c r="G34" s="12">
        <v>0</v>
      </c>
      <c r="H34" s="12">
        <v>0</v>
      </c>
      <c r="I34" s="21">
        <f t="shared" si="0"/>
        <v>0</v>
      </c>
      <c r="J34" s="21">
        <f t="shared" si="1"/>
        <v>0</v>
      </c>
      <c r="K34" s="21">
        <v>0</v>
      </c>
      <c r="L34" s="21">
        <v>0</v>
      </c>
      <c r="M34" s="21">
        <f t="shared" si="2"/>
        <v>0</v>
      </c>
      <c r="N34" s="22">
        <v>45947</v>
      </c>
      <c r="O34" s="18"/>
      <c r="P34" s="22">
        <f t="shared" si="3"/>
        <v>45951</v>
      </c>
      <c r="Q34" s="23" t="s">
        <v>37</v>
      </c>
      <c r="R34" s="18" t="s">
        <v>37</v>
      </c>
      <c r="S34" s="24" t="s">
        <v>38</v>
      </c>
      <c r="T34" s="15"/>
      <c r="U34" s="10"/>
      <c r="V34" s="10"/>
      <c r="W34" s="10"/>
      <c r="X34" s="10"/>
      <c r="Y34" s="10"/>
      <c r="Z34" s="10"/>
      <c r="AA34" s="10"/>
      <c r="AB34" s="10"/>
      <c r="AC34" s="10"/>
      <c r="AD34" s="10"/>
      <c r="AE34" s="10"/>
      <c r="AF34" s="10"/>
      <c r="AG34" s="10"/>
      <c r="AH34" s="10"/>
    </row>
    <row r="35" ht="35.25" customHeight="1" spans="1:34">
      <c r="A35" s="9">
        <v>91</v>
      </c>
      <c r="B35" s="10">
        <f>VLOOKUP(C35,[1]Modelos!$B$2:$C$200,2,FALSE)</f>
        <v>0</v>
      </c>
      <c r="C35" s="10" t="s">
        <v>62</v>
      </c>
      <c r="D35" s="79" t="s">
        <v>63</v>
      </c>
      <c r="E35" s="10" t="s">
        <v>36</v>
      </c>
      <c r="F35" s="10"/>
      <c r="G35" s="12">
        <v>1200</v>
      </c>
      <c r="H35" s="12">
        <v>330</v>
      </c>
      <c r="I35" s="12">
        <f t="shared" si="0"/>
        <v>528</v>
      </c>
      <c r="J35" s="12">
        <f t="shared" si="1"/>
        <v>561</v>
      </c>
      <c r="K35" s="12">
        <v>550</v>
      </c>
      <c r="L35" s="12">
        <v>550</v>
      </c>
      <c r="M35" s="12">
        <f t="shared" si="2"/>
        <v>220</v>
      </c>
      <c r="N35" s="13">
        <v>45908</v>
      </c>
      <c r="P35" s="13">
        <f t="shared" si="3"/>
        <v>45912</v>
      </c>
      <c r="Q35" s="14" t="s">
        <v>37</v>
      </c>
      <c r="R35" s="10" t="s">
        <v>37</v>
      </c>
      <c r="S35" s="10" t="s">
        <v>38</v>
      </c>
      <c r="T35" s="15"/>
      <c r="U35" s="10"/>
      <c r="V35" s="10"/>
      <c r="W35" s="10"/>
      <c r="X35" s="10"/>
      <c r="Y35" s="10"/>
      <c r="Z35" s="10"/>
      <c r="AA35" s="10"/>
      <c r="AB35" s="10"/>
      <c r="AC35" s="10"/>
      <c r="AD35" s="10"/>
      <c r="AE35" s="10"/>
      <c r="AF35" s="10"/>
      <c r="AG35" s="10"/>
      <c r="AH35" s="10"/>
    </row>
    <row r="36" ht="35.25" customHeight="1" spans="1:34">
      <c r="A36" s="10"/>
      <c r="B36" s="10">
        <f>VLOOKUP(C36,[1]Modelos!$B$2:$C$100,2,FALSE)</f>
        <v>0</v>
      </c>
      <c r="C36" s="10" t="s">
        <v>64</v>
      </c>
      <c r="D36" s="79" t="s">
        <v>65</v>
      </c>
      <c r="E36" s="10" t="s">
        <v>36</v>
      </c>
      <c r="F36" s="10"/>
      <c r="G36" s="12">
        <v>1100</v>
      </c>
      <c r="H36" s="12">
        <v>357</v>
      </c>
      <c r="I36" s="12">
        <f t="shared" si="0"/>
        <v>571.2</v>
      </c>
      <c r="J36" s="12">
        <f t="shared" si="1"/>
        <v>606.9</v>
      </c>
      <c r="K36" s="12">
        <v>690</v>
      </c>
      <c r="L36" s="12">
        <v>0</v>
      </c>
      <c r="M36" s="12">
        <f t="shared" si="2"/>
        <v>333</v>
      </c>
      <c r="N36" s="13">
        <v>45917</v>
      </c>
      <c r="P36" s="13">
        <f t="shared" si="3"/>
        <v>45921</v>
      </c>
      <c r="Q36" s="14" t="s">
        <v>37</v>
      </c>
      <c r="R36" s="10" t="s">
        <v>37</v>
      </c>
      <c r="S36" s="10" t="s">
        <v>38</v>
      </c>
      <c r="T36" s="15"/>
      <c r="U36" s="10"/>
      <c r="V36" s="10"/>
      <c r="W36" s="10"/>
      <c r="X36" s="10"/>
      <c r="Y36" s="10"/>
      <c r="Z36" s="10"/>
      <c r="AA36" s="10"/>
      <c r="AB36" s="10"/>
      <c r="AC36" s="10"/>
      <c r="AD36" s="10"/>
      <c r="AE36" s="10"/>
      <c r="AF36" s="10"/>
      <c r="AG36" s="10"/>
      <c r="AH36" s="10"/>
    </row>
    <row r="37" ht="35.25" customHeight="1" spans="1:34">
      <c r="A37" s="10"/>
      <c r="B37" s="10">
        <f>VLOOKUP(C37,[1]Modelos!$B$2:$C$100,2,FALSE)</f>
        <v>0</v>
      </c>
      <c r="C37" s="10" t="s">
        <v>64</v>
      </c>
      <c r="D37" s="79" t="s">
        <v>63</v>
      </c>
      <c r="E37" s="10" t="s">
        <v>36</v>
      </c>
      <c r="F37" s="10"/>
      <c r="G37" s="12">
        <v>1100</v>
      </c>
      <c r="H37" s="12">
        <v>357</v>
      </c>
      <c r="I37" s="12">
        <f t="shared" si="0"/>
        <v>571.2</v>
      </c>
      <c r="J37" s="12">
        <f t="shared" si="1"/>
        <v>606.9</v>
      </c>
      <c r="K37" s="12">
        <v>690</v>
      </c>
      <c r="L37" s="12">
        <v>0</v>
      </c>
      <c r="M37" s="12">
        <f t="shared" si="2"/>
        <v>333</v>
      </c>
      <c r="N37" s="13">
        <v>45917</v>
      </c>
      <c r="P37" s="13">
        <f t="shared" si="3"/>
        <v>45921</v>
      </c>
      <c r="Q37" s="14" t="s">
        <v>37</v>
      </c>
      <c r="R37" s="10" t="s">
        <v>37</v>
      </c>
      <c r="S37" s="10" t="s">
        <v>38</v>
      </c>
      <c r="T37" s="15"/>
      <c r="U37" s="10"/>
      <c r="V37" s="10"/>
      <c r="W37" s="10"/>
      <c r="X37" s="10"/>
      <c r="Y37" s="10"/>
      <c r="Z37" s="10"/>
      <c r="AA37" s="10"/>
      <c r="AB37" s="10"/>
      <c r="AC37" s="10"/>
      <c r="AD37" s="10"/>
      <c r="AE37" s="10"/>
      <c r="AF37" s="10"/>
      <c r="AG37" s="10"/>
      <c r="AH37" s="10"/>
    </row>
    <row r="38" ht="35.25" customHeight="1" spans="1:34">
      <c r="A38" s="10"/>
      <c r="B38" s="10">
        <f>VLOOKUP(C38,[1]Modelos!$B$2:$C$100,2,FALSE)</f>
        <v>0</v>
      </c>
      <c r="C38" s="10" t="s">
        <v>66</v>
      </c>
      <c r="D38" s="79" t="s">
        <v>43</v>
      </c>
      <c r="E38" s="10" t="s">
        <v>36</v>
      </c>
      <c r="F38" s="10"/>
      <c r="G38" s="12">
        <v>1800</v>
      </c>
      <c r="H38" s="12">
        <v>530</v>
      </c>
      <c r="I38" s="12">
        <f t="shared" si="0"/>
        <v>848</v>
      </c>
      <c r="J38" s="12">
        <f t="shared" si="1"/>
        <v>901</v>
      </c>
      <c r="K38" s="12">
        <v>830</v>
      </c>
      <c r="L38" s="12">
        <v>0</v>
      </c>
      <c r="M38" s="12">
        <f t="shared" si="2"/>
        <v>300</v>
      </c>
      <c r="N38" s="13">
        <v>45917</v>
      </c>
      <c r="P38" s="13">
        <f t="shared" si="3"/>
        <v>45921</v>
      </c>
      <c r="Q38" s="14" t="s">
        <v>37</v>
      </c>
      <c r="R38" s="10" t="s">
        <v>37</v>
      </c>
      <c r="S38" s="10" t="s">
        <v>38</v>
      </c>
      <c r="T38" s="15"/>
      <c r="U38" s="10"/>
      <c r="V38" s="10"/>
      <c r="W38" s="10"/>
      <c r="X38" s="10"/>
      <c r="Y38" s="10"/>
      <c r="Z38" s="10"/>
      <c r="AA38" s="10"/>
      <c r="AB38" s="10"/>
      <c r="AC38" s="10"/>
      <c r="AD38" s="10"/>
      <c r="AE38" s="10"/>
      <c r="AF38" s="10"/>
      <c r="AG38" s="10"/>
      <c r="AH38" s="10"/>
    </row>
    <row r="39" ht="35.25" customHeight="1" spans="1:34">
      <c r="A39" s="10"/>
      <c r="B39" s="10">
        <f>VLOOKUP(C39,[1]Modelos!$B$2:$C$200,2,FALSE)</f>
        <v>0</v>
      </c>
      <c r="C39" s="10" t="s">
        <v>67</v>
      </c>
      <c r="D39" s="79" t="s">
        <v>63</v>
      </c>
      <c r="E39" s="10" t="s">
        <v>36</v>
      </c>
      <c r="F39" s="10"/>
      <c r="G39" s="12">
        <v>1249.9</v>
      </c>
      <c r="H39" s="12">
        <v>539.05</v>
      </c>
      <c r="I39" s="12">
        <f t="shared" si="0"/>
        <v>862.48</v>
      </c>
      <c r="J39" s="12">
        <f t="shared" si="1"/>
        <v>916.385</v>
      </c>
      <c r="K39" s="12">
        <v>890</v>
      </c>
      <c r="L39" s="12">
        <v>0</v>
      </c>
      <c r="M39" s="12">
        <f t="shared" si="2"/>
        <v>350.95</v>
      </c>
      <c r="N39" s="13">
        <v>45947</v>
      </c>
      <c r="P39" s="13">
        <f t="shared" si="3"/>
        <v>45951</v>
      </c>
      <c r="Q39" s="14" t="s">
        <v>37</v>
      </c>
      <c r="R39" s="10" t="s">
        <v>37</v>
      </c>
      <c r="S39" s="10" t="s">
        <v>38</v>
      </c>
      <c r="T39" s="15"/>
      <c r="U39" s="10"/>
      <c r="V39" s="10"/>
      <c r="W39" s="10"/>
      <c r="X39" s="10"/>
      <c r="Y39" s="10"/>
      <c r="Z39" s="10"/>
      <c r="AA39" s="10"/>
      <c r="AB39" s="10"/>
      <c r="AC39" s="10"/>
      <c r="AD39" s="10"/>
      <c r="AE39" s="10"/>
      <c r="AF39" s="10"/>
      <c r="AG39" s="10"/>
      <c r="AH39" s="10"/>
    </row>
    <row r="40" ht="35.25" customHeight="1" spans="1:34">
      <c r="A40" s="9">
        <v>89</v>
      </c>
      <c r="B40" s="10">
        <f>VLOOKUP(C40,[1]Modelos!$B$2:$C$100,2,FALSE)</f>
        <v>0</v>
      </c>
      <c r="C40" s="10" t="s">
        <v>68</v>
      </c>
      <c r="D40" s="79" t="s">
        <v>52</v>
      </c>
      <c r="E40" s="10" t="s">
        <v>36</v>
      </c>
      <c r="F40" s="10"/>
      <c r="G40" s="12">
        <v>1250</v>
      </c>
      <c r="H40" s="12">
        <v>460</v>
      </c>
      <c r="I40" s="12">
        <f t="shared" si="0"/>
        <v>736</v>
      </c>
      <c r="J40" s="12">
        <f t="shared" si="1"/>
        <v>782</v>
      </c>
      <c r="K40" s="12">
        <v>830</v>
      </c>
      <c r="L40" s="12">
        <v>0</v>
      </c>
      <c r="M40" s="12">
        <f t="shared" si="2"/>
        <v>370</v>
      </c>
      <c r="N40" s="13">
        <v>45908</v>
      </c>
      <c r="P40" s="13">
        <f t="shared" si="3"/>
        <v>45912</v>
      </c>
      <c r="Q40" s="14" t="s">
        <v>37</v>
      </c>
      <c r="R40" s="10" t="s">
        <v>37</v>
      </c>
      <c r="S40" s="10" t="s">
        <v>38</v>
      </c>
      <c r="T40" s="15"/>
      <c r="U40" s="10"/>
      <c r="V40" s="10"/>
      <c r="W40" s="10"/>
      <c r="X40" s="10"/>
      <c r="Y40" s="10"/>
      <c r="Z40" s="10"/>
      <c r="AA40" s="10"/>
      <c r="AB40" s="10"/>
      <c r="AC40" s="10"/>
      <c r="AD40" s="10"/>
      <c r="AE40" s="10"/>
      <c r="AF40" s="10"/>
      <c r="AG40" s="10"/>
      <c r="AH40" s="10"/>
    </row>
    <row r="41" ht="35.25" customHeight="1" spans="1:34">
      <c r="A41" s="9">
        <v>89</v>
      </c>
      <c r="B41" s="10">
        <f>VLOOKUP(C41,[1]Modelos!$B$2:$C$100,2,FALSE)</f>
        <v>0</v>
      </c>
      <c r="C41" s="10" t="s">
        <v>68</v>
      </c>
      <c r="D41" s="79" t="s">
        <v>43</v>
      </c>
      <c r="E41" s="10" t="s">
        <v>36</v>
      </c>
      <c r="F41" s="10"/>
      <c r="G41" s="12">
        <v>1250</v>
      </c>
      <c r="H41" s="12">
        <v>460</v>
      </c>
      <c r="I41" s="12">
        <f t="shared" si="0"/>
        <v>736</v>
      </c>
      <c r="J41" s="12">
        <f t="shared" si="1"/>
        <v>782</v>
      </c>
      <c r="K41" s="12">
        <v>830</v>
      </c>
      <c r="L41" s="12">
        <v>0</v>
      </c>
      <c r="M41" s="12">
        <f t="shared" si="2"/>
        <v>370</v>
      </c>
      <c r="N41" s="13">
        <v>45908</v>
      </c>
      <c r="P41" s="13">
        <f t="shared" si="3"/>
        <v>45912</v>
      </c>
      <c r="Q41" s="14" t="s">
        <v>37</v>
      </c>
      <c r="R41" s="10" t="s">
        <v>37</v>
      </c>
      <c r="S41" s="10" t="s">
        <v>38</v>
      </c>
      <c r="T41" s="15"/>
      <c r="U41" s="10"/>
      <c r="V41" s="10"/>
      <c r="W41" s="10"/>
      <c r="X41" s="10"/>
      <c r="Y41" s="10"/>
      <c r="Z41" s="10"/>
      <c r="AA41" s="10"/>
      <c r="AB41" s="10"/>
      <c r="AC41" s="10"/>
      <c r="AD41" s="10"/>
      <c r="AE41" s="10"/>
      <c r="AF41" s="10"/>
      <c r="AG41" s="10"/>
      <c r="AH41" s="10"/>
    </row>
    <row r="42" ht="35.25" customHeight="1" spans="1:34">
      <c r="A42" s="9">
        <v>89</v>
      </c>
      <c r="B42" s="10">
        <f>VLOOKUP(C42,[1]Modelos!$B$2:$C$100,2,FALSE)</f>
        <v>0</v>
      </c>
      <c r="C42" s="10" t="s">
        <v>68</v>
      </c>
      <c r="D42" s="79" t="s">
        <v>65</v>
      </c>
      <c r="E42" s="10" t="s">
        <v>36</v>
      </c>
      <c r="F42" s="10"/>
      <c r="G42" s="12">
        <v>1250</v>
      </c>
      <c r="H42" s="12">
        <v>460</v>
      </c>
      <c r="I42" s="12">
        <f t="shared" si="0"/>
        <v>736</v>
      </c>
      <c r="J42" s="12">
        <f t="shared" si="1"/>
        <v>782</v>
      </c>
      <c r="K42" s="12">
        <v>830</v>
      </c>
      <c r="L42" s="12">
        <v>0</v>
      </c>
      <c r="M42" s="12">
        <f t="shared" si="2"/>
        <v>370</v>
      </c>
      <c r="N42" s="13">
        <v>45908</v>
      </c>
      <c r="P42" s="13">
        <f t="shared" si="3"/>
        <v>45912</v>
      </c>
      <c r="Q42" s="14" t="s">
        <v>37</v>
      </c>
      <c r="R42" s="10" t="s">
        <v>37</v>
      </c>
      <c r="S42" s="10" t="s">
        <v>38</v>
      </c>
      <c r="T42" s="15"/>
      <c r="U42" s="10"/>
      <c r="V42" s="10"/>
      <c r="W42" s="10"/>
      <c r="X42" s="10"/>
      <c r="Y42" s="10"/>
      <c r="Z42" s="10"/>
      <c r="AA42" s="10"/>
      <c r="AB42" s="10"/>
      <c r="AC42" s="10"/>
      <c r="AD42" s="10"/>
      <c r="AE42" s="10"/>
      <c r="AF42" s="10"/>
      <c r="AG42" s="10"/>
      <c r="AH42" s="10"/>
    </row>
    <row r="43" ht="35.25" customHeight="1" spans="1:34">
      <c r="A43" s="9">
        <v>89</v>
      </c>
      <c r="B43" s="10">
        <f>VLOOKUP(C43,[1]Modelos!$B$2:$C$100,2,FALSE)</f>
        <v>0</v>
      </c>
      <c r="C43" s="10" t="s">
        <v>68</v>
      </c>
      <c r="D43" s="79" t="s">
        <v>63</v>
      </c>
      <c r="E43" s="10" t="s">
        <v>36</v>
      </c>
      <c r="F43" s="10"/>
      <c r="G43" s="12">
        <v>1250</v>
      </c>
      <c r="H43" s="12">
        <v>460</v>
      </c>
      <c r="I43" s="12">
        <f t="shared" si="0"/>
        <v>736</v>
      </c>
      <c r="J43" s="12">
        <f t="shared" si="1"/>
        <v>782</v>
      </c>
      <c r="K43" s="12">
        <v>830</v>
      </c>
      <c r="L43" s="12">
        <v>0</v>
      </c>
      <c r="M43" s="12">
        <f t="shared" si="2"/>
        <v>370</v>
      </c>
      <c r="N43" s="13">
        <v>45908</v>
      </c>
      <c r="P43" s="13">
        <f t="shared" si="3"/>
        <v>45912</v>
      </c>
      <c r="Q43" s="14" t="s">
        <v>37</v>
      </c>
      <c r="R43" s="10" t="s">
        <v>37</v>
      </c>
      <c r="S43" s="10" t="s">
        <v>38</v>
      </c>
      <c r="T43" s="15"/>
      <c r="U43" s="10"/>
      <c r="V43" s="10"/>
      <c r="W43" s="10"/>
      <c r="X43" s="10"/>
      <c r="Y43" s="10"/>
      <c r="Z43" s="10"/>
      <c r="AA43" s="10"/>
      <c r="AB43" s="10"/>
      <c r="AC43" s="10"/>
      <c r="AD43" s="10"/>
      <c r="AE43" s="10"/>
      <c r="AF43" s="10"/>
      <c r="AG43" s="10"/>
      <c r="AH43" s="10"/>
    </row>
    <row r="44" ht="35.25" customHeight="1" spans="1:34">
      <c r="A44" s="9">
        <v>62</v>
      </c>
      <c r="B44" s="10">
        <f>VLOOKUP(C44,[1]Modelos!$B$2:$C$100,2,FALSE)</f>
        <v>0</v>
      </c>
      <c r="C44" s="10" t="s">
        <v>69</v>
      </c>
      <c r="D44" s="79" t="s">
        <v>52</v>
      </c>
      <c r="E44" s="10" t="s">
        <v>36</v>
      </c>
      <c r="F44" s="10"/>
      <c r="G44" s="12">
        <v>1250</v>
      </c>
      <c r="H44" s="12">
        <v>440</v>
      </c>
      <c r="I44" s="12">
        <f t="shared" si="0"/>
        <v>704</v>
      </c>
      <c r="J44" s="12">
        <f t="shared" si="1"/>
        <v>748</v>
      </c>
      <c r="K44" s="12">
        <v>830</v>
      </c>
      <c r="L44" s="12">
        <v>0</v>
      </c>
      <c r="M44" s="12">
        <f t="shared" si="2"/>
        <v>390</v>
      </c>
      <c r="N44" s="13">
        <v>45908</v>
      </c>
      <c r="P44" s="13">
        <f t="shared" si="3"/>
        <v>45912</v>
      </c>
      <c r="Q44" s="14" t="s">
        <v>37</v>
      </c>
      <c r="R44" s="10" t="s">
        <v>37</v>
      </c>
      <c r="S44" s="10" t="s">
        <v>38</v>
      </c>
      <c r="T44" s="15"/>
      <c r="U44" s="10"/>
      <c r="V44" s="10"/>
      <c r="W44" s="10"/>
      <c r="X44" s="10"/>
      <c r="Y44" s="10"/>
      <c r="Z44" s="10"/>
      <c r="AA44" s="10"/>
      <c r="AB44" s="10"/>
      <c r="AC44" s="10"/>
      <c r="AD44" s="10"/>
      <c r="AE44" s="10"/>
      <c r="AF44" s="10"/>
      <c r="AG44" s="10"/>
      <c r="AH44" s="10"/>
    </row>
    <row r="45" ht="35.25" customHeight="1" spans="1:34">
      <c r="A45" s="9">
        <v>63</v>
      </c>
      <c r="B45" s="10">
        <f>VLOOKUP(C45,[1]Modelos!$B$2:$C$100,2,FALSE)</f>
        <v>0</v>
      </c>
      <c r="C45" s="10" t="s">
        <v>69</v>
      </c>
      <c r="D45" s="79" t="s">
        <v>52</v>
      </c>
      <c r="E45" s="10" t="s">
        <v>36</v>
      </c>
      <c r="F45" s="10"/>
      <c r="G45" s="12">
        <v>1250</v>
      </c>
      <c r="H45" s="12">
        <v>440</v>
      </c>
      <c r="I45" s="12">
        <f t="shared" si="0"/>
        <v>704</v>
      </c>
      <c r="J45" s="12">
        <f t="shared" si="1"/>
        <v>748</v>
      </c>
      <c r="K45" s="12">
        <v>830</v>
      </c>
      <c r="L45" s="12">
        <v>0</v>
      </c>
      <c r="M45" s="12">
        <f t="shared" si="2"/>
        <v>390</v>
      </c>
      <c r="N45" s="13">
        <v>45908</v>
      </c>
      <c r="P45" s="13">
        <f t="shared" si="3"/>
        <v>45912</v>
      </c>
      <c r="Q45" s="14" t="s">
        <v>37</v>
      </c>
      <c r="R45" s="10" t="s">
        <v>37</v>
      </c>
      <c r="S45" s="10" t="s">
        <v>38</v>
      </c>
      <c r="T45" s="15"/>
      <c r="U45" s="10"/>
      <c r="V45" s="10"/>
      <c r="W45" s="10"/>
      <c r="X45" s="10"/>
      <c r="Y45" s="10"/>
      <c r="Z45" s="10"/>
      <c r="AA45" s="10"/>
      <c r="AB45" s="10"/>
      <c r="AC45" s="10"/>
      <c r="AD45" s="10"/>
      <c r="AE45" s="10"/>
      <c r="AF45" s="10"/>
      <c r="AG45" s="10"/>
      <c r="AH45" s="10"/>
    </row>
    <row r="46" ht="35.25" customHeight="1" spans="1:34">
      <c r="A46" s="9">
        <v>57</v>
      </c>
      <c r="B46" s="10">
        <f>VLOOKUP(C46,[1]Modelos!$B$2:$C$100,2,FALSE)</f>
        <v>0</v>
      </c>
      <c r="C46" s="10" t="s">
        <v>70</v>
      </c>
      <c r="D46" s="79" t="s">
        <v>52</v>
      </c>
      <c r="E46" s="10" t="s">
        <v>36</v>
      </c>
      <c r="F46" s="10"/>
      <c r="G46" s="12">
        <v>1600</v>
      </c>
      <c r="H46" s="12">
        <v>404</v>
      </c>
      <c r="I46" s="12">
        <f t="shared" si="0"/>
        <v>646.4</v>
      </c>
      <c r="J46" s="12">
        <f t="shared" si="1"/>
        <v>686.8</v>
      </c>
      <c r="K46" s="12">
        <v>830</v>
      </c>
      <c r="L46" s="12">
        <v>0</v>
      </c>
      <c r="M46" s="12">
        <f t="shared" si="2"/>
        <v>426</v>
      </c>
      <c r="N46" s="13">
        <v>45908</v>
      </c>
      <c r="P46" s="13">
        <f t="shared" si="3"/>
        <v>45912</v>
      </c>
      <c r="Q46" s="14" t="s">
        <v>37</v>
      </c>
      <c r="R46" s="10" t="s">
        <v>37</v>
      </c>
      <c r="S46" s="10" t="s">
        <v>38</v>
      </c>
      <c r="T46" s="15"/>
      <c r="U46" s="10"/>
      <c r="V46" s="10"/>
      <c r="W46" s="10"/>
      <c r="X46" s="10"/>
      <c r="Y46" s="10"/>
      <c r="Z46" s="10"/>
      <c r="AA46" s="10"/>
      <c r="AB46" s="10"/>
      <c r="AC46" s="10"/>
      <c r="AD46" s="10"/>
      <c r="AE46" s="10"/>
      <c r="AF46" s="10"/>
      <c r="AG46" s="10"/>
      <c r="AH46" s="10"/>
    </row>
    <row r="47" ht="35.25" customHeight="1" spans="1:34">
      <c r="A47" s="9">
        <v>58</v>
      </c>
      <c r="B47" s="10">
        <f>VLOOKUP(C47,[1]Modelos!$B$2:$C$100,2,FALSE)</f>
        <v>0</v>
      </c>
      <c r="C47" s="10" t="s">
        <v>70</v>
      </c>
      <c r="D47" s="79" t="s">
        <v>35</v>
      </c>
      <c r="E47" s="10" t="s">
        <v>36</v>
      </c>
      <c r="F47" s="10"/>
      <c r="G47" s="12">
        <v>1600</v>
      </c>
      <c r="H47" s="12">
        <v>404</v>
      </c>
      <c r="I47" s="12">
        <f t="shared" si="0"/>
        <v>646.4</v>
      </c>
      <c r="J47" s="12">
        <f t="shared" si="1"/>
        <v>686.8</v>
      </c>
      <c r="K47" s="12">
        <v>830</v>
      </c>
      <c r="L47" s="12">
        <v>0</v>
      </c>
      <c r="M47" s="12">
        <f t="shared" si="2"/>
        <v>426</v>
      </c>
      <c r="N47" s="13">
        <v>45908</v>
      </c>
      <c r="P47" s="13">
        <f t="shared" si="3"/>
        <v>45912</v>
      </c>
      <c r="Q47" s="14" t="s">
        <v>37</v>
      </c>
      <c r="R47" s="10" t="s">
        <v>37</v>
      </c>
      <c r="S47" s="10" t="s">
        <v>38</v>
      </c>
      <c r="T47" s="15"/>
      <c r="U47" s="10"/>
      <c r="V47" s="10"/>
      <c r="W47" s="10"/>
      <c r="X47" s="10"/>
      <c r="Y47" s="10"/>
      <c r="Z47" s="10"/>
      <c r="AA47" s="10"/>
      <c r="AB47" s="10"/>
      <c r="AC47" s="10"/>
      <c r="AD47" s="10"/>
      <c r="AE47" s="10"/>
      <c r="AF47" s="10"/>
      <c r="AG47" s="10"/>
      <c r="AH47" s="10"/>
    </row>
    <row r="48" ht="35.25" customHeight="1" spans="1:34">
      <c r="A48" s="9">
        <v>58</v>
      </c>
      <c r="B48" s="10">
        <f>VLOOKUP(C48,[1]Modelos!$B$2:$C$100,2,FALSE)</f>
        <v>0</v>
      </c>
      <c r="C48" s="10" t="s">
        <v>70</v>
      </c>
      <c r="D48" s="79" t="s">
        <v>63</v>
      </c>
      <c r="E48" s="10" t="s">
        <v>36</v>
      </c>
      <c r="F48" s="10"/>
      <c r="G48" s="12">
        <v>1600</v>
      </c>
      <c r="H48" s="12">
        <v>404</v>
      </c>
      <c r="I48" s="12">
        <f t="shared" si="0"/>
        <v>646.4</v>
      </c>
      <c r="J48" s="12">
        <f t="shared" si="1"/>
        <v>686.8</v>
      </c>
      <c r="K48" s="12">
        <v>830</v>
      </c>
      <c r="L48" s="12">
        <v>0</v>
      </c>
      <c r="M48" s="12">
        <f t="shared" si="2"/>
        <v>426</v>
      </c>
      <c r="N48" s="13">
        <v>45908</v>
      </c>
      <c r="P48" s="13">
        <f t="shared" si="3"/>
        <v>45912</v>
      </c>
      <c r="Q48" s="14" t="s">
        <v>37</v>
      </c>
      <c r="R48" s="10" t="s">
        <v>37</v>
      </c>
      <c r="S48" s="10" t="s">
        <v>38</v>
      </c>
      <c r="T48" s="15"/>
      <c r="U48" s="10"/>
      <c r="V48" s="10"/>
      <c r="W48" s="10"/>
      <c r="X48" s="10"/>
      <c r="Y48" s="10"/>
      <c r="Z48" s="10"/>
      <c r="AA48" s="10"/>
      <c r="AB48" s="10"/>
      <c r="AC48" s="10"/>
      <c r="AD48" s="10"/>
      <c r="AE48" s="10"/>
      <c r="AF48" s="10"/>
      <c r="AG48" s="10"/>
      <c r="AH48" s="10"/>
    </row>
    <row r="49" ht="35.25" customHeight="1" spans="1:34">
      <c r="A49" s="9">
        <v>94</v>
      </c>
      <c r="B49" s="10">
        <f>VLOOKUP(C49,[1]Modelos!$B$2:$C$100,2,FALSE)</f>
        <v>0</v>
      </c>
      <c r="C49" s="10" t="s">
        <v>71</v>
      </c>
      <c r="D49" s="79" t="s">
        <v>63</v>
      </c>
      <c r="E49" s="10" t="s">
        <v>36</v>
      </c>
      <c r="F49" s="10"/>
      <c r="G49" s="12">
        <v>1450</v>
      </c>
      <c r="H49" s="12">
        <v>536</v>
      </c>
      <c r="I49" s="12">
        <f t="shared" si="0"/>
        <v>857.6</v>
      </c>
      <c r="J49" s="12">
        <f t="shared" si="1"/>
        <v>911.2</v>
      </c>
      <c r="K49" s="12">
        <v>860</v>
      </c>
      <c r="L49" s="12">
        <v>0</v>
      </c>
      <c r="M49" s="12">
        <f t="shared" si="2"/>
        <v>324</v>
      </c>
      <c r="N49" s="13">
        <v>45908</v>
      </c>
      <c r="P49" s="13">
        <f t="shared" si="3"/>
        <v>45912</v>
      </c>
      <c r="Q49" s="14" t="s">
        <v>37</v>
      </c>
      <c r="R49" s="10" t="s">
        <v>37</v>
      </c>
      <c r="S49" s="10" t="s">
        <v>38</v>
      </c>
      <c r="T49" s="15"/>
      <c r="U49" s="10"/>
      <c r="V49" s="10"/>
      <c r="W49" s="10"/>
      <c r="X49" s="10"/>
      <c r="Y49" s="10"/>
      <c r="Z49" s="10"/>
      <c r="AA49" s="10"/>
      <c r="AB49" s="10"/>
      <c r="AC49" s="10"/>
      <c r="AD49" s="10"/>
      <c r="AE49" s="10"/>
      <c r="AF49" s="10"/>
      <c r="AG49" s="10"/>
      <c r="AH49" s="10"/>
    </row>
    <row r="50" ht="35.25" customHeight="1" spans="1:34">
      <c r="A50" s="9">
        <v>12</v>
      </c>
      <c r="B50" s="10">
        <f>VLOOKUP(C50,[1]Modelos!$B$2:$C$100,2,FALSE)</f>
        <v>0</v>
      </c>
      <c r="C50" s="10" t="s">
        <v>72</v>
      </c>
      <c r="D50" s="79" t="s">
        <v>35</v>
      </c>
      <c r="E50" s="10" t="s">
        <v>36</v>
      </c>
      <c r="F50" s="10"/>
      <c r="G50" s="12"/>
      <c r="H50" s="12"/>
      <c r="I50" s="12">
        <f t="shared" si="0"/>
        <v>0</v>
      </c>
      <c r="J50" s="12">
        <f t="shared" si="1"/>
        <v>0</v>
      </c>
      <c r="K50" s="12">
        <v>860</v>
      </c>
      <c r="L50" s="12">
        <v>0</v>
      </c>
      <c r="M50" s="12">
        <f t="shared" si="2"/>
        <v>860</v>
      </c>
      <c r="N50" s="13">
        <v>45908</v>
      </c>
      <c r="P50" s="13">
        <f t="shared" si="3"/>
        <v>45912</v>
      </c>
      <c r="Q50" s="14" t="s">
        <v>37</v>
      </c>
      <c r="R50" s="10" t="s">
        <v>37</v>
      </c>
      <c r="S50" s="10" t="s">
        <v>38</v>
      </c>
      <c r="T50" s="15"/>
      <c r="U50" s="10"/>
      <c r="V50" s="10"/>
      <c r="W50" s="10"/>
      <c r="X50" s="10"/>
      <c r="Y50" s="10"/>
      <c r="Z50" s="10"/>
      <c r="AA50" s="10"/>
      <c r="AB50" s="10"/>
      <c r="AC50" s="10"/>
      <c r="AD50" s="10"/>
      <c r="AE50" s="10"/>
      <c r="AF50" s="10"/>
      <c r="AG50" s="10"/>
      <c r="AH50" s="10"/>
    </row>
    <row r="51" ht="35.25" customHeight="1" spans="1:34">
      <c r="A51" s="10"/>
      <c r="B51" s="10">
        <f>VLOOKUP(C51,[1]Modelos!$B$2:$C$100,2,FALSE)</f>
        <v>0</v>
      </c>
      <c r="C51" s="10" t="s">
        <v>73</v>
      </c>
      <c r="D51" s="79" t="s">
        <v>41</v>
      </c>
      <c r="E51" s="10" t="s">
        <v>36</v>
      </c>
      <c r="F51" s="10"/>
      <c r="G51" s="12">
        <v>1499.9</v>
      </c>
      <c r="H51" s="12">
        <v>554.96</v>
      </c>
      <c r="I51" s="12">
        <f t="shared" si="0"/>
        <v>887.936</v>
      </c>
      <c r="J51" s="12">
        <f t="shared" si="1"/>
        <v>943.432</v>
      </c>
      <c r="K51" s="12">
        <v>980</v>
      </c>
      <c r="L51" s="12">
        <v>0</v>
      </c>
      <c r="M51" s="12">
        <f t="shared" si="2"/>
        <v>425.04</v>
      </c>
      <c r="N51" s="13">
        <v>45917</v>
      </c>
      <c r="P51" s="13">
        <f t="shared" si="3"/>
        <v>45921</v>
      </c>
      <c r="Q51" s="14" t="s">
        <v>37</v>
      </c>
      <c r="R51" s="10" t="s">
        <v>37</v>
      </c>
      <c r="S51" s="10" t="s">
        <v>38</v>
      </c>
      <c r="T51" s="15"/>
      <c r="U51" s="10"/>
      <c r="V51" s="10"/>
      <c r="W51" s="10"/>
      <c r="X51" s="10"/>
      <c r="Y51" s="10"/>
      <c r="Z51" s="10"/>
      <c r="AA51" s="10"/>
      <c r="AB51" s="10"/>
      <c r="AC51" s="10"/>
      <c r="AD51" s="10"/>
      <c r="AE51" s="10"/>
      <c r="AF51" s="10"/>
      <c r="AG51" s="10"/>
      <c r="AH51" s="10"/>
    </row>
    <row r="52" ht="35.25" customHeight="1" spans="1:34">
      <c r="A52" s="25">
        <v>59</v>
      </c>
      <c r="B52" s="26">
        <f>VLOOKUP(C52,[1]Modelos!$B$2:$C$100,2,FALSE)</f>
        <v>0</v>
      </c>
      <c r="C52" s="26" t="s">
        <v>74</v>
      </c>
      <c r="D52" s="82" t="s">
        <v>43</v>
      </c>
      <c r="E52" s="20" t="s">
        <v>36</v>
      </c>
      <c r="F52" s="10"/>
      <c r="G52" s="28">
        <v>1500</v>
      </c>
      <c r="H52" s="28">
        <v>399.57</v>
      </c>
      <c r="I52" s="28">
        <f t="shared" si="0"/>
        <v>639.312</v>
      </c>
      <c r="J52" s="28">
        <f t="shared" si="1"/>
        <v>679.269</v>
      </c>
      <c r="K52" s="28">
        <v>730</v>
      </c>
      <c r="L52" s="28">
        <v>0</v>
      </c>
      <c r="M52" s="28">
        <f t="shared" si="2"/>
        <v>330.43</v>
      </c>
      <c r="N52" s="29">
        <v>45908</v>
      </c>
      <c r="O52" s="26"/>
      <c r="P52" s="29">
        <f t="shared" si="3"/>
        <v>45912</v>
      </c>
      <c r="Q52" s="30" t="s">
        <v>37</v>
      </c>
      <c r="R52" s="26" t="s">
        <v>37</v>
      </c>
      <c r="S52" s="26" t="s">
        <v>38</v>
      </c>
      <c r="T52" s="31"/>
      <c r="U52" s="10"/>
      <c r="V52" s="10"/>
      <c r="W52" s="10"/>
      <c r="X52" s="10"/>
      <c r="Y52" s="10"/>
      <c r="Z52" s="10"/>
      <c r="AA52" s="10"/>
      <c r="AB52" s="10"/>
      <c r="AC52" s="10"/>
      <c r="AD52" s="10"/>
      <c r="AE52" s="10"/>
      <c r="AF52" s="10"/>
      <c r="AG52" s="10"/>
      <c r="AH52" s="10"/>
    </row>
    <row r="53" ht="35.25" customHeight="1" spans="1:34">
      <c r="A53" s="9">
        <v>67</v>
      </c>
      <c r="B53" s="10">
        <f>VLOOKUP(C53,[1]Modelos!$B$2:$C$100,2,FALSE)</f>
        <v>0</v>
      </c>
      <c r="C53" s="10" t="s">
        <v>74</v>
      </c>
      <c r="D53" s="79" t="s">
        <v>63</v>
      </c>
      <c r="E53" s="10" t="s">
        <v>36</v>
      </c>
      <c r="F53" s="10"/>
      <c r="G53" s="12">
        <v>1500</v>
      </c>
      <c r="H53" s="12">
        <v>399.57</v>
      </c>
      <c r="I53" s="12">
        <f t="shared" si="0"/>
        <v>639.312</v>
      </c>
      <c r="J53" s="12">
        <f t="shared" si="1"/>
        <v>679.269</v>
      </c>
      <c r="K53" s="12">
        <v>730</v>
      </c>
      <c r="L53" s="12">
        <v>0</v>
      </c>
      <c r="M53" s="12">
        <f t="shared" si="2"/>
        <v>330.43</v>
      </c>
      <c r="N53" s="13">
        <v>45908</v>
      </c>
      <c r="P53" s="13">
        <f t="shared" si="3"/>
        <v>45912</v>
      </c>
      <c r="Q53" s="14" t="s">
        <v>37</v>
      </c>
      <c r="R53" s="10" t="s">
        <v>37</v>
      </c>
      <c r="S53" s="10" t="s">
        <v>38</v>
      </c>
      <c r="T53" s="15"/>
      <c r="U53" s="10"/>
      <c r="V53" s="10"/>
      <c r="W53" s="10"/>
      <c r="X53" s="10"/>
      <c r="Y53" s="10"/>
      <c r="Z53" s="10"/>
      <c r="AA53" s="10"/>
      <c r="AB53" s="10"/>
      <c r="AC53" s="10"/>
      <c r="AD53" s="10"/>
      <c r="AE53" s="10"/>
      <c r="AF53" s="10"/>
      <c r="AG53" s="10"/>
      <c r="AH53" s="10"/>
    </row>
    <row r="54" ht="35.25" customHeight="1" spans="1:34">
      <c r="A54" s="9">
        <v>72</v>
      </c>
      <c r="B54" s="10">
        <f>VLOOKUP(C54,[1]Modelos!$B$2:$C$100,2,FALSE)</f>
        <v>0</v>
      </c>
      <c r="C54" s="10" t="s">
        <v>75</v>
      </c>
      <c r="D54" s="79" t="s">
        <v>63</v>
      </c>
      <c r="E54" s="10" t="s">
        <v>36</v>
      </c>
      <c r="F54" s="10"/>
      <c r="G54" s="12">
        <v>1400</v>
      </c>
      <c r="H54" s="12">
        <v>440</v>
      </c>
      <c r="I54" s="12">
        <f t="shared" si="0"/>
        <v>704</v>
      </c>
      <c r="J54" s="12">
        <f t="shared" si="1"/>
        <v>748</v>
      </c>
      <c r="K54" s="12">
        <v>780</v>
      </c>
      <c r="L54" s="12">
        <v>150</v>
      </c>
      <c r="M54" s="12">
        <f t="shared" si="2"/>
        <v>340</v>
      </c>
      <c r="N54" s="13">
        <v>45908</v>
      </c>
      <c r="P54" s="13">
        <f t="shared" si="3"/>
        <v>45912</v>
      </c>
      <c r="Q54" s="14" t="s">
        <v>76</v>
      </c>
      <c r="R54" s="10" t="s">
        <v>77</v>
      </c>
      <c r="S54" s="10" t="s">
        <v>38</v>
      </c>
      <c r="T54" s="15"/>
      <c r="U54" s="10"/>
      <c r="V54" s="10"/>
      <c r="W54" s="10"/>
      <c r="X54" s="10"/>
      <c r="Y54" s="10"/>
      <c r="Z54" s="10"/>
      <c r="AA54" s="10"/>
      <c r="AB54" s="10"/>
      <c r="AC54" s="10"/>
      <c r="AD54" s="10"/>
      <c r="AE54" s="10"/>
      <c r="AF54" s="10"/>
      <c r="AG54" s="10"/>
      <c r="AH54" s="10"/>
    </row>
    <row r="55" ht="35.25" customHeight="1" spans="1:34">
      <c r="A55" s="10"/>
      <c r="B55" s="10"/>
      <c r="C55" s="10" t="s">
        <v>78</v>
      </c>
      <c r="D55" s="79" t="s">
        <v>63</v>
      </c>
      <c r="E55" s="10" t="s">
        <v>36</v>
      </c>
      <c r="F55" s="10"/>
      <c r="G55" s="12">
        <v>1050</v>
      </c>
      <c r="H55" s="12">
        <v>333</v>
      </c>
      <c r="I55" s="12">
        <f t="shared" si="0"/>
        <v>532.8</v>
      </c>
      <c r="J55" s="12">
        <f t="shared" si="1"/>
        <v>566.1</v>
      </c>
      <c r="K55" s="12">
        <v>590</v>
      </c>
      <c r="L55" s="12">
        <v>0</v>
      </c>
      <c r="M55" s="12">
        <f t="shared" si="2"/>
        <v>257</v>
      </c>
      <c r="N55" s="13">
        <v>45917</v>
      </c>
      <c r="P55" s="13">
        <f t="shared" si="3"/>
        <v>45921</v>
      </c>
      <c r="Q55" s="14" t="s">
        <v>37</v>
      </c>
      <c r="R55" s="10" t="s">
        <v>37</v>
      </c>
      <c r="S55" s="10" t="s">
        <v>38</v>
      </c>
      <c r="T55" s="15"/>
      <c r="U55" s="10"/>
      <c r="V55" s="10"/>
      <c r="W55" s="10"/>
      <c r="X55" s="10"/>
      <c r="Y55" s="10"/>
      <c r="Z55" s="10"/>
      <c r="AA55" s="10"/>
      <c r="AB55" s="10"/>
      <c r="AC55" s="10"/>
      <c r="AD55" s="10"/>
      <c r="AE55" s="10"/>
      <c r="AF55" s="10"/>
      <c r="AG55" s="10"/>
      <c r="AH55" s="10"/>
    </row>
    <row r="56" ht="35.25" customHeight="1" spans="1:34">
      <c r="A56" s="10"/>
      <c r="B56" s="10"/>
      <c r="C56" s="10" t="s">
        <v>78</v>
      </c>
      <c r="D56" s="79" t="s">
        <v>63</v>
      </c>
      <c r="E56" s="10" t="s">
        <v>36</v>
      </c>
      <c r="F56" s="10"/>
      <c r="G56" s="12">
        <v>1050</v>
      </c>
      <c r="H56" s="12">
        <v>333</v>
      </c>
      <c r="I56" s="12">
        <f t="shared" si="0"/>
        <v>532.8</v>
      </c>
      <c r="J56" s="12">
        <f t="shared" si="1"/>
        <v>566.1</v>
      </c>
      <c r="K56" s="12">
        <v>590</v>
      </c>
      <c r="L56" s="12">
        <v>0</v>
      </c>
      <c r="M56" s="12">
        <f t="shared" si="2"/>
        <v>257</v>
      </c>
      <c r="N56" s="13">
        <v>45917</v>
      </c>
      <c r="P56" s="13">
        <f t="shared" si="3"/>
        <v>45921</v>
      </c>
      <c r="Q56" s="14" t="s">
        <v>37</v>
      </c>
      <c r="R56" s="10" t="s">
        <v>37</v>
      </c>
      <c r="S56" s="10" t="s">
        <v>38</v>
      </c>
      <c r="T56" s="15"/>
      <c r="U56" s="10"/>
      <c r="V56" s="10"/>
      <c r="W56" s="10"/>
      <c r="X56" s="10"/>
      <c r="Y56" s="10"/>
      <c r="Z56" s="10"/>
      <c r="AA56" s="10"/>
      <c r="AB56" s="10"/>
      <c r="AC56" s="10"/>
      <c r="AD56" s="10"/>
      <c r="AE56" s="10"/>
      <c r="AF56" s="10"/>
      <c r="AG56" s="10"/>
      <c r="AH56" s="10"/>
    </row>
    <row r="57" ht="35.25" customHeight="1" spans="1:34">
      <c r="A57" s="10"/>
      <c r="B57" s="10">
        <f>VLOOKUP(C57,[1]Modelos!$B$2:$C$100,2,FALSE)</f>
        <v>0</v>
      </c>
      <c r="C57" s="10" t="s">
        <v>79</v>
      </c>
      <c r="D57" s="79" t="s">
        <v>52</v>
      </c>
      <c r="E57" s="10" t="s">
        <v>36</v>
      </c>
      <c r="F57" s="10"/>
      <c r="G57" s="12">
        <v>1899</v>
      </c>
      <c r="H57" s="12">
        <v>498.81</v>
      </c>
      <c r="I57" s="12">
        <f t="shared" si="0"/>
        <v>798.096</v>
      </c>
      <c r="J57" s="12">
        <f t="shared" si="1"/>
        <v>847.977</v>
      </c>
      <c r="K57" s="12">
        <v>890</v>
      </c>
      <c r="L57" s="12">
        <v>0</v>
      </c>
      <c r="M57" s="12">
        <f t="shared" si="2"/>
        <v>391.19</v>
      </c>
      <c r="N57" s="13">
        <v>45917</v>
      </c>
      <c r="P57" s="13">
        <f t="shared" si="3"/>
        <v>45921</v>
      </c>
      <c r="Q57" s="14" t="s">
        <v>37</v>
      </c>
      <c r="R57" s="10" t="s">
        <v>37</v>
      </c>
      <c r="S57" s="10" t="s">
        <v>38</v>
      </c>
      <c r="T57" s="15"/>
      <c r="U57" s="10"/>
      <c r="V57" s="10"/>
      <c r="W57" s="10"/>
      <c r="X57" s="10"/>
      <c r="Y57" s="10"/>
      <c r="Z57" s="10"/>
      <c r="AA57" s="10"/>
      <c r="AB57" s="10"/>
      <c r="AC57" s="10"/>
      <c r="AD57" s="10"/>
      <c r="AE57" s="10"/>
      <c r="AF57" s="10"/>
      <c r="AG57" s="10"/>
      <c r="AH57" s="10"/>
    </row>
    <row r="58" ht="35.25" customHeight="1" spans="1:34">
      <c r="A58" s="10"/>
      <c r="B58" s="10">
        <f>VLOOKUP(C58,[1]Modelos!$B$2:$C$100,2,FALSE)</f>
        <v>0</v>
      </c>
      <c r="C58" s="10" t="s">
        <v>79</v>
      </c>
      <c r="D58" s="79" t="s">
        <v>65</v>
      </c>
      <c r="E58" s="10" t="s">
        <v>36</v>
      </c>
      <c r="F58" s="10"/>
      <c r="G58" s="12">
        <v>1899</v>
      </c>
      <c r="H58" s="12">
        <v>498.81</v>
      </c>
      <c r="I58" s="12">
        <f t="shared" si="0"/>
        <v>798.096</v>
      </c>
      <c r="J58" s="12">
        <f t="shared" si="1"/>
        <v>847.977</v>
      </c>
      <c r="K58" s="12">
        <v>890</v>
      </c>
      <c r="L58" s="12">
        <v>0</v>
      </c>
      <c r="M58" s="12">
        <f t="shared" si="2"/>
        <v>391.19</v>
      </c>
      <c r="N58" s="13">
        <v>45917</v>
      </c>
      <c r="P58" s="13">
        <f t="shared" si="3"/>
        <v>45921</v>
      </c>
      <c r="Q58" s="14" t="s">
        <v>37</v>
      </c>
      <c r="R58" s="10" t="s">
        <v>37</v>
      </c>
      <c r="S58" s="10" t="s">
        <v>38</v>
      </c>
      <c r="T58" s="15"/>
      <c r="U58" s="10"/>
      <c r="V58" s="10"/>
      <c r="W58" s="10"/>
      <c r="X58" s="10"/>
      <c r="Y58" s="10"/>
      <c r="Z58" s="10"/>
      <c r="AA58" s="10"/>
      <c r="AB58" s="10"/>
      <c r="AC58" s="10"/>
      <c r="AD58" s="10"/>
      <c r="AE58" s="10"/>
      <c r="AF58" s="10"/>
      <c r="AG58" s="10"/>
      <c r="AH58" s="10"/>
    </row>
    <row r="59" ht="35.25" customHeight="1" spans="1:34">
      <c r="A59" s="10"/>
      <c r="B59" s="10">
        <f>VLOOKUP(C59,[1]Modelos!$B$2:$C$100,2,FALSE)</f>
        <v>0</v>
      </c>
      <c r="C59" s="10" t="s">
        <v>79</v>
      </c>
      <c r="D59" s="79" t="s">
        <v>35</v>
      </c>
      <c r="E59" s="10" t="s">
        <v>36</v>
      </c>
      <c r="F59" s="10"/>
      <c r="G59" s="12">
        <v>1899</v>
      </c>
      <c r="H59" s="12">
        <v>498.81</v>
      </c>
      <c r="I59" s="12">
        <f t="shared" si="0"/>
        <v>798.096</v>
      </c>
      <c r="J59" s="12">
        <f t="shared" si="1"/>
        <v>847.977</v>
      </c>
      <c r="K59" s="12">
        <v>890</v>
      </c>
      <c r="L59" s="12">
        <v>0</v>
      </c>
      <c r="M59" s="12">
        <f t="shared" si="2"/>
        <v>391.19</v>
      </c>
      <c r="N59" s="13">
        <v>45917</v>
      </c>
      <c r="P59" s="13">
        <f t="shared" si="3"/>
        <v>45921</v>
      </c>
      <c r="Q59" s="14" t="s">
        <v>37</v>
      </c>
      <c r="R59" s="10" t="s">
        <v>37</v>
      </c>
      <c r="S59" s="10" t="s">
        <v>38</v>
      </c>
      <c r="T59" s="15"/>
      <c r="U59" s="10"/>
      <c r="V59" s="10"/>
      <c r="W59" s="10"/>
      <c r="X59" s="10"/>
      <c r="Y59" s="10"/>
      <c r="Z59" s="10"/>
      <c r="AA59" s="10"/>
      <c r="AB59" s="10"/>
      <c r="AC59" s="10"/>
      <c r="AD59" s="10"/>
      <c r="AE59" s="10"/>
      <c r="AF59" s="10"/>
      <c r="AG59" s="10"/>
      <c r="AH59" s="10"/>
    </row>
    <row r="60" ht="35.25" customHeight="1" spans="1:34">
      <c r="A60" s="10"/>
      <c r="B60" s="10">
        <f>VLOOKUP(C60,[1]Modelos!$B$2:$C$200,2,FALSE)</f>
        <v>0</v>
      </c>
      <c r="C60" s="10" t="s">
        <v>80</v>
      </c>
      <c r="D60" s="79" t="s">
        <v>43</v>
      </c>
      <c r="E60" s="10" t="s">
        <v>36</v>
      </c>
      <c r="F60" s="10"/>
      <c r="G60" s="12">
        <v>0</v>
      </c>
      <c r="H60" s="12">
        <v>0</v>
      </c>
      <c r="I60" s="12">
        <f t="shared" si="0"/>
        <v>0</v>
      </c>
      <c r="J60" s="12">
        <f t="shared" si="1"/>
        <v>0</v>
      </c>
      <c r="K60" s="12">
        <v>0</v>
      </c>
      <c r="L60" s="12">
        <v>0</v>
      </c>
      <c r="M60" s="12">
        <f t="shared" si="2"/>
        <v>0</v>
      </c>
      <c r="N60" s="13">
        <v>45947</v>
      </c>
      <c r="P60" s="13">
        <f t="shared" si="3"/>
        <v>45951</v>
      </c>
      <c r="Q60" s="14" t="s">
        <v>37</v>
      </c>
      <c r="R60" s="10" t="s">
        <v>37</v>
      </c>
      <c r="S60" s="10" t="s">
        <v>38</v>
      </c>
      <c r="T60" s="15"/>
      <c r="U60" s="10"/>
      <c r="V60" s="10"/>
      <c r="W60" s="10"/>
      <c r="X60" s="10"/>
      <c r="Y60" s="10"/>
      <c r="Z60" s="10"/>
      <c r="AA60" s="10"/>
      <c r="AB60" s="10"/>
      <c r="AC60" s="10"/>
      <c r="AD60" s="10"/>
      <c r="AE60" s="10"/>
      <c r="AF60" s="10"/>
      <c r="AG60" s="10"/>
      <c r="AH60" s="10"/>
    </row>
    <row r="61" ht="35.25" customHeight="1" spans="1:34">
      <c r="A61" s="9">
        <v>66</v>
      </c>
      <c r="B61" s="10">
        <f>VLOOKUP(C61,[1]Modelos!$B$2:$C$100,2,FALSE)</f>
        <v>0</v>
      </c>
      <c r="C61" s="10" t="s">
        <v>81</v>
      </c>
      <c r="D61" s="79" t="s">
        <v>50</v>
      </c>
      <c r="E61" s="10" t="s">
        <v>36</v>
      </c>
      <c r="F61" s="10"/>
      <c r="G61" s="12">
        <v>1000</v>
      </c>
      <c r="H61" s="12">
        <v>440</v>
      </c>
      <c r="I61" s="12">
        <f t="shared" si="0"/>
        <v>704</v>
      </c>
      <c r="J61" s="12">
        <f t="shared" si="1"/>
        <v>748</v>
      </c>
      <c r="K61" s="12">
        <v>780</v>
      </c>
      <c r="L61" s="12">
        <v>0</v>
      </c>
      <c r="M61" s="12">
        <f t="shared" si="2"/>
        <v>340</v>
      </c>
      <c r="N61" s="13">
        <v>45908</v>
      </c>
      <c r="P61" s="13">
        <f t="shared" si="3"/>
        <v>45912</v>
      </c>
      <c r="Q61" s="14" t="s">
        <v>37</v>
      </c>
      <c r="R61" s="10" t="s">
        <v>37</v>
      </c>
      <c r="S61" s="10" t="s">
        <v>38</v>
      </c>
      <c r="T61" s="15"/>
      <c r="U61" s="10"/>
      <c r="V61" s="10"/>
      <c r="W61" s="10"/>
      <c r="X61" s="10"/>
      <c r="Y61" s="10"/>
      <c r="Z61" s="10"/>
      <c r="AA61" s="10"/>
      <c r="AB61" s="10"/>
      <c r="AC61" s="10"/>
      <c r="AD61" s="10"/>
      <c r="AE61" s="10"/>
      <c r="AF61" s="10"/>
      <c r="AG61" s="10"/>
      <c r="AH61" s="10"/>
    </row>
    <row r="62" ht="35.25" customHeight="1" spans="1:34">
      <c r="A62" s="9">
        <v>66</v>
      </c>
      <c r="B62" s="10">
        <f>VLOOKUP(C62,[1]Modelos!$B$2:$C$100,2,FALSE)</f>
        <v>0</v>
      </c>
      <c r="C62" s="10" t="s">
        <v>81</v>
      </c>
      <c r="D62" s="79" t="s">
        <v>50</v>
      </c>
      <c r="E62" s="10" t="s">
        <v>36</v>
      </c>
      <c r="F62" s="10"/>
      <c r="G62" s="12">
        <v>1000</v>
      </c>
      <c r="H62" s="12">
        <v>440</v>
      </c>
      <c r="I62" s="12">
        <f t="shared" si="0"/>
        <v>704</v>
      </c>
      <c r="J62" s="12">
        <f t="shared" si="1"/>
        <v>748</v>
      </c>
      <c r="K62" s="12">
        <v>780</v>
      </c>
      <c r="L62" s="12">
        <v>0</v>
      </c>
      <c r="M62" s="12">
        <f t="shared" si="2"/>
        <v>340</v>
      </c>
      <c r="N62" s="13">
        <v>45908</v>
      </c>
      <c r="P62" s="13">
        <f t="shared" si="3"/>
        <v>45912</v>
      </c>
      <c r="Q62" s="14" t="s">
        <v>37</v>
      </c>
      <c r="R62" s="10" t="s">
        <v>37</v>
      </c>
      <c r="S62" s="10" t="s">
        <v>38</v>
      </c>
      <c r="T62" s="15"/>
      <c r="U62" s="10"/>
      <c r="V62" s="10"/>
      <c r="W62" s="10"/>
      <c r="X62" s="10"/>
      <c r="Y62" s="10"/>
      <c r="Z62" s="10"/>
      <c r="AA62" s="10"/>
      <c r="AB62" s="10"/>
      <c r="AC62" s="10"/>
      <c r="AD62" s="10"/>
      <c r="AE62" s="10"/>
      <c r="AF62" s="10"/>
      <c r="AG62" s="10"/>
      <c r="AH62" s="10"/>
    </row>
    <row r="63" ht="35.25" customHeight="1" spans="1:34">
      <c r="A63" s="9">
        <v>66</v>
      </c>
      <c r="B63" s="10">
        <f>VLOOKUP(C63,[1]Modelos!$B$2:$C$100,2,FALSE)</f>
        <v>0</v>
      </c>
      <c r="C63" s="10" t="s">
        <v>81</v>
      </c>
      <c r="D63" s="79" t="s">
        <v>50</v>
      </c>
      <c r="E63" s="10" t="s">
        <v>36</v>
      </c>
      <c r="F63" s="10"/>
      <c r="G63" s="12">
        <v>1000</v>
      </c>
      <c r="H63" s="12">
        <v>440</v>
      </c>
      <c r="I63" s="12">
        <f t="shared" si="0"/>
        <v>704</v>
      </c>
      <c r="J63" s="12">
        <f t="shared" si="1"/>
        <v>748</v>
      </c>
      <c r="K63" s="12">
        <v>780</v>
      </c>
      <c r="L63" s="12">
        <v>0</v>
      </c>
      <c r="M63" s="12">
        <f t="shared" si="2"/>
        <v>340</v>
      </c>
      <c r="N63" s="13">
        <v>45908</v>
      </c>
      <c r="P63" s="13">
        <f t="shared" si="3"/>
        <v>45912</v>
      </c>
      <c r="Q63" s="14" t="s">
        <v>37</v>
      </c>
      <c r="R63" s="10" t="s">
        <v>37</v>
      </c>
      <c r="S63" s="10" t="s">
        <v>38</v>
      </c>
      <c r="T63" s="15"/>
      <c r="U63" s="10"/>
      <c r="V63" s="10"/>
      <c r="W63" s="10"/>
      <c r="X63" s="10"/>
      <c r="Y63" s="10"/>
      <c r="Z63" s="10"/>
      <c r="AA63" s="10"/>
      <c r="AB63" s="10"/>
      <c r="AC63" s="10"/>
      <c r="AD63" s="10"/>
      <c r="AE63" s="10"/>
      <c r="AF63" s="10"/>
      <c r="AG63" s="10"/>
      <c r="AH63" s="10"/>
    </row>
    <row r="64" ht="35.25" hidden="1" customHeight="1" spans="1:34">
      <c r="A64" s="9">
        <v>33</v>
      </c>
      <c r="B64" s="10">
        <f>VLOOKUP(C64,[1]Modelos!$B$2:$C$100,2,FALSE)</f>
        <v>0</v>
      </c>
      <c r="C64" s="10" t="s">
        <v>82</v>
      </c>
      <c r="D64" s="80" t="s">
        <v>60</v>
      </c>
      <c r="E64" s="10" t="s">
        <v>36</v>
      </c>
      <c r="F64" s="10"/>
      <c r="G64" s="12"/>
      <c r="H64" s="12"/>
      <c r="I64" s="12">
        <f t="shared" si="0"/>
        <v>0</v>
      </c>
      <c r="J64" s="12">
        <f t="shared" si="1"/>
        <v>0</v>
      </c>
      <c r="K64" s="12">
        <v>850</v>
      </c>
      <c r="L64" s="12">
        <v>0</v>
      </c>
      <c r="M64" s="12">
        <f t="shared" si="2"/>
        <v>850</v>
      </c>
      <c r="N64" s="13">
        <v>45908</v>
      </c>
      <c r="P64" s="13">
        <f t="shared" si="3"/>
        <v>45912</v>
      </c>
      <c r="Q64" s="14" t="s">
        <v>37</v>
      </c>
      <c r="R64" s="10" t="s">
        <v>37</v>
      </c>
      <c r="S64" s="10" t="s">
        <v>38</v>
      </c>
      <c r="T64" s="15"/>
      <c r="U64" s="10"/>
      <c r="V64" s="10"/>
      <c r="W64" s="10"/>
      <c r="X64" s="10"/>
      <c r="Y64" s="10"/>
      <c r="Z64" s="10"/>
      <c r="AA64" s="10"/>
      <c r="AB64" s="10"/>
      <c r="AC64" s="10"/>
      <c r="AD64" s="10"/>
      <c r="AE64" s="10"/>
      <c r="AF64" s="10"/>
      <c r="AG64" s="10"/>
      <c r="AH64" s="10"/>
    </row>
    <row r="65" ht="35.25" customHeight="1" spans="1:34">
      <c r="A65" s="9">
        <v>42</v>
      </c>
      <c r="B65" s="10">
        <f>VLOOKUP(C65,[1]Modelos!$B$2:$C$100,2,FALSE)</f>
        <v>0</v>
      </c>
      <c r="C65" s="10" t="s">
        <v>83</v>
      </c>
      <c r="D65" s="79" t="s">
        <v>35</v>
      </c>
      <c r="E65" s="10" t="s">
        <v>36</v>
      </c>
      <c r="F65" s="10"/>
      <c r="G65" s="12">
        <v>1500</v>
      </c>
      <c r="H65" s="12">
        <v>554.96</v>
      </c>
      <c r="I65" s="12">
        <f t="shared" si="0"/>
        <v>887.936</v>
      </c>
      <c r="J65" s="12">
        <f t="shared" si="1"/>
        <v>943.432</v>
      </c>
      <c r="K65" s="12">
        <v>890</v>
      </c>
      <c r="L65" s="12">
        <v>0</v>
      </c>
      <c r="M65" s="12">
        <f t="shared" si="2"/>
        <v>335.04</v>
      </c>
      <c r="N65" s="13">
        <v>45908</v>
      </c>
      <c r="P65" s="13">
        <f t="shared" si="3"/>
        <v>45912</v>
      </c>
      <c r="Q65" s="14" t="s">
        <v>37</v>
      </c>
      <c r="R65" s="10" t="s">
        <v>37</v>
      </c>
      <c r="S65" s="10" t="s">
        <v>38</v>
      </c>
      <c r="T65" s="15"/>
      <c r="U65" s="10"/>
      <c r="V65" s="10"/>
      <c r="W65" s="10"/>
      <c r="X65" s="10"/>
      <c r="Y65" s="10"/>
      <c r="Z65" s="10"/>
      <c r="AA65" s="10"/>
      <c r="AB65" s="10"/>
      <c r="AC65" s="10"/>
      <c r="AD65" s="10"/>
      <c r="AE65" s="10"/>
      <c r="AF65" s="10"/>
      <c r="AG65" s="10"/>
      <c r="AH65" s="10"/>
    </row>
    <row r="66" ht="35.25" customHeight="1" spans="1:34">
      <c r="A66" s="9">
        <v>45</v>
      </c>
      <c r="B66" s="10">
        <f>VLOOKUP(C66,[1]Modelos!$B$2:$C$100,2,FALSE)</f>
        <v>0</v>
      </c>
      <c r="C66" s="10" t="s">
        <v>83</v>
      </c>
      <c r="D66" s="79" t="s">
        <v>50</v>
      </c>
      <c r="E66" s="10" t="s">
        <v>36</v>
      </c>
      <c r="F66" s="10"/>
      <c r="G66" s="12">
        <v>1500</v>
      </c>
      <c r="H66" s="12">
        <v>554.96</v>
      </c>
      <c r="I66" s="12">
        <f t="shared" ref="I66:I129" si="4">H66*1.6</f>
        <v>887.936</v>
      </c>
      <c r="J66" s="12">
        <f t="shared" ref="J66:J129" si="5">H66*1.7</f>
        <v>943.432</v>
      </c>
      <c r="K66" s="12">
        <v>890</v>
      </c>
      <c r="L66" s="12">
        <v>0</v>
      </c>
      <c r="M66" s="12">
        <f t="shared" ref="M66:M129" si="6">K66-H66</f>
        <v>335.04</v>
      </c>
      <c r="N66" s="13">
        <v>45908</v>
      </c>
      <c r="P66" s="13">
        <f t="shared" ref="P66:P126" si="7">N66+4</f>
        <v>45912</v>
      </c>
      <c r="Q66" s="14" t="s">
        <v>37</v>
      </c>
      <c r="R66" s="10" t="s">
        <v>37</v>
      </c>
      <c r="S66" s="10" t="s">
        <v>38</v>
      </c>
      <c r="T66" s="15"/>
      <c r="U66" s="10"/>
      <c r="V66" s="10"/>
      <c r="W66" s="10"/>
      <c r="X66" s="10"/>
      <c r="Y66" s="10"/>
      <c r="Z66" s="10"/>
      <c r="AA66" s="10"/>
      <c r="AB66" s="10"/>
      <c r="AC66" s="10"/>
      <c r="AD66" s="10"/>
      <c r="AE66" s="10"/>
      <c r="AF66" s="10"/>
      <c r="AG66" s="10"/>
      <c r="AH66" s="10"/>
    </row>
    <row r="67" ht="35.25" customHeight="1" spans="1:34">
      <c r="A67" s="9">
        <v>46</v>
      </c>
      <c r="B67" s="10">
        <f>VLOOKUP(C67,[1]Modelos!$B$2:$C$100,2,FALSE)</f>
        <v>0</v>
      </c>
      <c r="C67" s="10" t="s">
        <v>83</v>
      </c>
      <c r="D67" s="79" t="s">
        <v>50</v>
      </c>
      <c r="E67" s="10" t="s">
        <v>36</v>
      </c>
      <c r="F67" s="10"/>
      <c r="G67" s="12">
        <v>1500</v>
      </c>
      <c r="H67" s="12">
        <v>554.96</v>
      </c>
      <c r="I67" s="12">
        <f t="shared" si="4"/>
        <v>887.936</v>
      </c>
      <c r="J67" s="12">
        <f t="shared" si="5"/>
        <v>943.432</v>
      </c>
      <c r="K67" s="12">
        <v>890</v>
      </c>
      <c r="L67" s="12">
        <v>0</v>
      </c>
      <c r="M67" s="12">
        <f t="shared" si="6"/>
        <v>335.04</v>
      </c>
      <c r="N67" s="13">
        <v>45908</v>
      </c>
      <c r="P67" s="13">
        <f t="shared" si="7"/>
        <v>45912</v>
      </c>
      <c r="Q67" s="14" t="s">
        <v>37</v>
      </c>
      <c r="R67" s="10" t="s">
        <v>37</v>
      </c>
      <c r="S67" s="10" t="s">
        <v>38</v>
      </c>
      <c r="T67" s="15"/>
      <c r="U67" s="10"/>
      <c r="V67" s="10"/>
      <c r="W67" s="10"/>
      <c r="X67" s="10"/>
      <c r="Y67" s="10"/>
      <c r="Z67" s="10"/>
      <c r="AA67" s="10"/>
      <c r="AB67" s="10"/>
      <c r="AC67" s="10"/>
      <c r="AD67" s="10"/>
      <c r="AE67" s="10"/>
      <c r="AF67" s="10"/>
      <c r="AG67" s="10"/>
      <c r="AH67" s="10"/>
    </row>
    <row r="68" ht="35.25" customHeight="1" spans="1:34">
      <c r="A68" s="10"/>
      <c r="B68" s="10">
        <f>VLOOKUP(C68,[1]Modelos!$B$2:$C$200,2,FALSE)</f>
        <v>0</v>
      </c>
      <c r="C68" s="10" t="s">
        <v>84</v>
      </c>
      <c r="D68" s="79" t="s">
        <v>56</v>
      </c>
      <c r="E68" s="10" t="s">
        <v>36</v>
      </c>
      <c r="F68" s="10"/>
      <c r="G68" s="12">
        <v>0</v>
      </c>
      <c r="H68" s="12">
        <v>0</v>
      </c>
      <c r="I68" s="12">
        <f t="shared" si="4"/>
        <v>0</v>
      </c>
      <c r="J68" s="12">
        <f t="shared" si="5"/>
        <v>0</v>
      </c>
      <c r="K68" s="12">
        <v>850</v>
      </c>
      <c r="L68" s="12">
        <v>0</v>
      </c>
      <c r="M68" s="12">
        <f t="shared" si="6"/>
        <v>850</v>
      </c>
      <c r="N68" s="13">
        <v>45947</v>
      </c>
      <c r="P68" s="13">
        <f t="shared" si="7"/>
        <v>45951</v>
      </c>
      <c r="Q68" s="14" t="s">
        <v>37</v>
      </c>
      <c r="R68" s="10" t="s">
        <v>37</v>
      </c>
      <c r="S68" s="10" t="s">
        <v>38</v>
      </c>
      <c r="T68" s="15"/>
      <c r="U68" s="10"/>
      <c r="V68" s="10"/>
      <c r="W68" s="10"/>
      <c r="X68" s="10"/>
      <c r="Y68" s="10"/>
      <c r="Z68" s="10"/>
      <c r="AA68" s="10"/>
      <c r="AB68" s="10"/>
      <c r="AC68" s="10"/>
      <c r="AD68" s="10"/>
      <c r="AE68" s="10"/>
      <c r="AF68" s="10"/>
      <c r="AG68" s="10"/>
      <c r="AH68" s="10"/>
    </row>
    <row r="69" ht="35.25" customHeight="1" spans="1:34">
      <c r="A69" s="10"/>
      <c r="B69" s="10">
        <f>VLOOKUP(C69,[1]Modelos!$B$2:$C$200,2,FALSE)</f>
        <v>0</v>
      </c>
      <c r="C69" s="10" t="s">
        <v>84</v>
      </c>
      <c r="D69" s="79" t="s">
        <v>41</v>
      </c>
      <c r="E69" s="10" t="s">
        <v>36</v>
      </c>
      <c r="F69" s="10"/>
      <c r="G69" s="12">
        <v>1099.9</v>
      </c>
      <c r="H69" s="12">
        <v>500</v>
      </c>
      <c r="I69" s="12">
        <f t="shared" si="4"/>
        <v>800</v>
      </c>
      <c r="J69" s="12">
        <f t="shared" si="5"/>
        <v>850</v>
      </c>
      <c r="K69" s="12">
        <v>850</v>
      </c>
      <c r="L69" s="12">
        <v>0</v>
      </c>
      <c r="M69" s="12">
        <f t="shared" si="6"/>
        <v>350</v>
      </c>
      <c r="N69" s="13">
        <v>45947</v>
      </c>
      <c r="P69" s="13">
        <f t="shared" si="7"/>
        <v>45951</v>
      </c>
      <c r="Q69" s="14" t="s">
        <v>37</v>
      </c>
      <c r="R69" s="10" t="s">
        <v>37</v>
      </c>
      <c r="S69" s="10" t="s">
        <v>38</v>
      </c>
      <c r="T69" s="15"/>
      <c r="U69" s="10"/>
      <c r="V69" s="10"/>
      <c r="W69" s="10"/>
      <c r="X69" s="10"/>
      <c r="Y69" s="10"/>
      <c r="Z69" s="10"/>
      <c r="AA69" s="10"/>
      <c r="AB69" s="10"/>
      <c r="AC69" s="10"/>
      <c r="AD69" s="10"/>
      <c r="AE69" s="10"/>
      <c r="AF69" s="10"/>
      <c r="AG69" s="10"/>
      <c r="AH69" s="10"/>
    </row>
    <row r="70" ht="35.25" customHeight="1" spans="1:34">
      <c r="A70" s="10"/>
      <c r="B70" s="10">
        <f>VLOOKUP(C70,[1]Modelos!$B$2:$C$200,2,FALSE)</f>
        <v>0</v>
      </c>
      <c r="C70" s="10" t="s">
        <v>85</v>
      </c>
      <c r="D70" s="79" t="s">
        <v>50</v>
      </c>
      <c r="E70" s="10" t="s">
        <v>36</v>
      </c>
      <c r="F70" s="10"/>
      <c r="G70" s="12">
        <v>1100</v>
      </c>
      <c r="H70" s="12">
        <v>450</v>
      </c>
      <c r="I70" s="12">
        <f t="shared" si="4"/>
        <v>720</v>
      </c>
      <c r="J70" s="12">
        <f t="shared" si="5"/>
        <v>765</v>
      </c>
      <c r="K70" s="12">
        <v>750</v>
      </c>
      <c r="L70" s="12">
        <v>0</v>
      </c>
      <c r="M70" s="12">
        <f t="shared" si="6"/>
        <v>300</v>
      </c>
      <c r="N70" s="13">
        <v>45947</v>
      </c>
      <c r="P70" s="13">
        <f t="shared" si="7"/>
        <v>45951</v>
      </c>
      <c r="Q70" s="14" t="s">
        <v>37</v>
      </c>
      <c r="R70" s="10" t="s">
        <v>37</v>
      </c>
      <c r="S70" s="10" t="s">
        <v>38</v>
      </c>
      <c r="T70" s="15"/>
      <c r="U70" s="10"/>
      <c r="V70" s="10"/>
      <c r="W70" s="10"/>
      <c r="X70" s="10"/>
      <c r="Y70" s="10"/>
      <c r="Z70" s="10"/>
      <c r="AA70" s="10"/>
      <c r="AB70" s="10"/>
      <c r="AC70" s="10"/>
      <c r="AD70" s="10"/>
      <c r="AE70" s="10"/>
      <c r="AF70" s="10"/>
      <c r="AG70" s="10"/>
      <c r="AH70" s="10"/>
    </row>
    <row r="71" ht="35.25" customHeight="1" spans="1:34">
      <c r="A71" s="10"/>
      <c r="B71" s="10">
        <f>VLOOKUP(C71,[1]Modelos!$B$2:$C$200,2,FALSE)</f>
        <v>0</v>
      </c>
      <c r="C71" s="10" t="s">
        <v>85</v>
      </c>
      <c r="D71" s="79" t="s">
        <v>35</v>
      </c>
      <c r="E71" s="10" t="s">
        <v>36</v>
      </c>
      <c r="F71" s="10"/>
      <c r="G71" s="12">
        <v>1100</v>
      </c>
      <c r="H71" s="12">
        <v>450</v>
      </c>
      <c r="I71" s="12">
        <f t="shared" si="4"/>
        <v>720</v>
      </c>
      <c r="J71" s="12">
        <f t="shared" si="5"/>
        <v>765</v>
      </c>
      <c r="K71" s="12">
        <v>750</v>
      </c>
      <c r="L71" s="12">
        <v>0</v>
      </c>
      <c r="M71" s="12">
        <f t="shared" si="6"/>
        <v>300</v>
      </c>
      <c r="N71" s="13">
        <v>45947</v>
      </c>
      <c r="P71" s="13">
        <f t="shared" si="7"/>
        <v>45951</v>
      </c>
      <c r="Q71" s="14" t="s">
        <v>37</v>
      </c>
      <c r="R71" s="10" t="s">
        <v>37</v>
      </c>
      <c r="S71" s="10" t="s">
        <v>38</v>
      </c>
      <c r="T71" s="15"/>
      <c r="U71" s="10"/>
      <c r="V71" s="10"/>
      <c r="W71" s="10"/>
      <c r="X71" s="10"/>
      <c r="Y71" s="10"/>
      <c r="Z71" s="10"/>
      <c r="AA71" s="10"/>
      <c r="AB71" s="10"/>
      <c r="AC71" s="10"/>
      <c r="AD71" s="10"/>
      <c r="AE71" s="10"/>
      <c r="AF71" s="10"/>
      <c r="AG71" s="10"/>
      <c r="AH71" s="10"/>
    </row>
    <row r="72" ht="35.25" customHeight="1" spans="1:34">
      <c r="A72" s="10"/>
      <c r="B72" s="10">
        <f>VLOOKUP(C72,[1]Modelos!$B$2:$C$100,2,FALSE)</f>
        <v>0</v>
      </c>
      <c r="C72" s="10" t="s">
        <v>86</v>
      </c>
      <c r="D72" s="79" t="s">
        <v>63</v>
      </c>
      <c r="E72" s="10" t="s">
        <v>36</v>
      </c>
      <c r="F72" s="10"/>
      <c r="G72" s="12">
        <v>1399.9</v>
      </c>
      <c r="H72" s="12">
        <v>517.96</v>
      </c>
      <c r="I72" s="12">
        <f t="shared" si="4"/>
        <v>828.736</v>
      </c>
      <c r="J72" s="12">
        <f t="shared" si="5"/>
        <v>880.532</v>
      </c>
      <c r="K72" s="12">
        <v>860</v>
      </c>
      <c r="L72" s="12">
        <v>0</v>
      </c>
      <c r="M72" s="12">
        <f t="shared" si="6"/>
        <v>342.04</v>
      </c>
      <c r="N72" s="13">
        <v>45917</v>
      </c>
      <c r="P72" s="13">
        <f t="shared" si="7"/>
        <v>45921</v>
      </c>
      <c r="Q72" s="14" t="s">
        <v>37</v>
      </c>
      <c r="R72" s="10" t="s">
        <v>37</v>
      </c>
      <c r="S72" s="10" t="s">
        <v>38</v>
      </c>
      <c r="T72" s="15"/>
      <c r="U72" s="10"/>
      <c r="V72" s="10"/>
      <c r="W72" s="10"/>
      <c r="X72" s="10"/>
      <c r="Y72" s="10"/>
      <c r="Z72" s="10"/>
      <c r="AA72" s="10"/>
      <c r="AB72" s="10"/>
      <c r="AC72" s="10"/>
      <c r="AD72" s="10"/>
      <c r="AE72" s="10"/>
      <c r="AF72" s="10"/>
      <c r="AG72" s="10"/>
      <c r="AH72" s="10"/>
    </row>
    <row r="73" ht="35.25" customHeight="1" spans="1:34">
      <c r="A73" s="10"/>
      <c r="B73" s="10">
        <f>VLOOKUP(C73,[1]Modelos!$B$2:$C$200,2,FALSE)</f>
        <v>0</v>
      </c>
      <c r="C73" s="10" t="s">
        <v>87</v>
      </c>
      <c r="D73" s="79" t="s">
        <v>41</v>
      </c>
      <c r="E73" s="10" t="s">
        <v>36</v>
      </c>
      <c r="F73" s="10"/>
      <c r="G73" s="12">
        <v>1000</v>
      </c>
      <c r="H73" s="12">
        <v>407</v>
      </c>
      <c r="I73" s="12">
        <f t="shared" si="4"/>
        <v>651.2</v>
      </c>
      <c r="J73" s="12">
        <f t="shared" si="5"/>
        <v>691.9</v>
      </c>
      <c r="K73" s="12">
        <v>790</v>
      </c>
      <c r="L73" s="12">
        <v>0</v>
      </c>
      <c r="M73" s="12">
        <f t="shared" si="6"/>
        <v>383</v>
      </c>
      <c r="N73" s="13">
        <v>45917</v>
      </c>
      <c r="P73" s="13">
        <f t="shared" si="7"/>
        <v>45921</v>
      </c>
      <c r="Q73" s="14" t="s">
        <v>37</v>
      </c>
      <c r="R73" s="10" t="s">
        <v>37</v>
      </c>
      <c r="S73" s="10" t="s">
        <v>38</v>
      </c>
      <c r="T73" s="15"/>
      <c r="U73" s="10"/>
      <c r="V73" s="10"/>
      <c r="W73" s="10"/>
      <c r="X73" s="10"/>
      <c r="Y73" s="10"/>
      <c r="Z73" s="10"/>
      <c r="AA73" s="10"/>
      <c r="AB73" s="10"/>
      <c r="AC73" s="10"/>
      <c r="AD73" s="10"/>
      <c r="AE73" s="10"/>
      <c r="AF73" s="10"/>
      <c r="AG73" s="10"/>
      <c r="AH73" s="10"/>
    </row>
    <row r="74" ht="35.25" customHeight="1" spans="1:34">
      <c r="A74" s="10"/>
      <c r="B74" s="10">
        <f>VLOOKUP(C74,[1]Modelos!$B$2:$C$200,2,FALSE)</f>
        <v>0</v>
      </c>
      <c r="C74" s="10" t="s">
        <v>87</v>
      </c>
      <c r="D74" s="79" t="s">
        <v>41</v>
      </c>
      <c r="E74" s="10" t="s">
        <v>36</v>
      </c>
      <c r="F74" s="10"/>
      <c r="G74" s="12">
        <v>1000</v>
      </c>
      <c r="H74" s="12">
        <v>407</v>
      </c>
      <c r="I74" s="12">
        <f t="shared" si="4"/>
        <v>651.2</v>
      </c>
      <c r="J74" s="12">
        <f t="shared" si="5"/>
        <v>691.9</v>
      </c>
      <c r="K74" s="12">
        <v>790</v>
      </c>
      <c r="L74" s="12">
        <v>0</v>
      </c>
      <c r="M74" s="12">
        <f t="shared" si="6"/>
        <v>383</v>
      </c>
      <c r="N74" s="13">
        <v>45917</v>
      </c>
      <c r="P74" s="13">
        <f t="shared" si="7"/>
        <v>45921</v>
      </c>
      <c r="Q74" s="14" t="s">
        <v>37</v>
      </c>
      <c r="R74" s="10" t="s">
        <v>37</v>
      </c>
      <c r="S74" s="10" t="s">
        <v>38</v>
      </c>
      <c r="T74" s="15"/>
      <c r="U74" s="10"/>
      <c r="V74" s="10"/>
      <c r="W74" s="10"/>
      <c r="X74" s="10"/>
      <c r="Y74" s="10"/>
      <c r="Z74" s="10"/>
      <c r="AA74" s="10"/>
      <c r="AB74" s="10"/>
      <c r="AC74" s="10"/>
      <c r="AD74" s="10"/>
      <c r="AE74" s="10"/>
      <c r="AF74" s="10"/>
      <c r="AG74" s="10"/>
      <c r="AH74" s="10"/>
    </row>
    <row r="75" ht="35.25" customHeight="1" spans="1:34">
      <c r="A75" s="10"/>
      <c r="B75" s="10">
        <f>VLOOKUP(C75,[1]Modelos!$B$2:$C$200,2,FALSE)</f>
        <v>0</v>
      </c>
      <c r="C75" s="10" t="s">
        <v>87</v>
      </c>
      <c r="D75" s="79" t="s">
        <v>41</v>
      </c>
      <c r="E75" s="10" t="s">
        <v>36</v>
      </c>
      <c r="F75" s="10"/>
      <c r="G75" s="12">
        <v>1000</v>
      </c>
      <c r="H75" s="12">
        <v>407</v>
      </c>
      <c r="I75" s="12">
        <f t="shared" si="4"/>
        <v>651.2</v>
      </c>
      <c r="J75" s="12">
        <f t="shared" si="5"/>
        <v>691.9</v>
      </c>
      <c r="K75" s="12">
        <v>790</v>
      </c>
      <c r="L75" s="12">
        <v>0</v>
      </c>
      <c r="M75" s="12">
        <f t="shared" si="6"/>
        <v>383</v>
      </c>
      <c r="N75" s="13">
        <v>45917</v>
      </c>
      <c r="P75" s="13">
        <f t="shared" si="7"/>
        <v>45921</v>
      </c>
      <c r="Q75" s="14" t="s">
        <v>37</v>
      </c>
      <c r="R75" s="10" t="s">
        <v>37</v>
      </c>
      <c r="S75" s="10" t="s">
        <v>38</v>
      </c>
      <c r="T75" s="15"/>
      <c r="U75" s="10"/>
      <c r="V75" s="10"/>
      <c r="W75" s="10"/>
      <c r="X75" s="10"/>
      <c r="Y75" s="10"/>
      <c r="Z75" s="10"/>
      <c r="AA75" s="10"/>
      <c r="AB75" s="10"/>
      <c r="AC75" s="10"/>
      <c r="AD75" s="10"/>
      <c r="AE75" s="10"/>
      <c r="AF75" s="10"/>
      <c r="AG75" s="10"/>
      <c r="AH75" s="10"/>
    </row>
    <row r="76" ht="35.25" hidden="1" customHeight="1" spans="1:34">
      <c r="A76" s="9">
        <v>96</v>
      </c>
      <c r="B76" s="10">
        <f>VLOOKUP(C76,[1]Modelos!$B$2:$C$100,2,FALSE)</f>
        <v>0</v>
      </c>
      <c r="C76" s="10" t="s">
        <v>88</v>
      </c>
      <c r="D76" s="80" t="s">
        <v>59</v>
      </c>
      <c r="E76" s="10" t="s">
        <v>36</v>
      </c>
      <c r="F76" s="10"/>
      <c r="G76" s="12">
        <v>2000</v>
      </c>
      <c r="H76" s="12">
        <v>550</v>
      </c>
      <c r="I76" s="12">
        <f t="shared" si="4"/>
        <v>880</v>
      </c>
      <c r="J76" s="12">
        <f t="shared" si="5"/>
        <v>935</v>
      </c>
      <c r="K76" s="12">
        <v>890</v>
      </c>
      <c r="L76" s="12">
        <v>0</v>
      </c>
      <c r="M76" s="12">
        <f t="shared" si="6"/>
        <v>340</v>
      </c>
      <c r="N76" s="13">
        <v>45908</v>
      </c>
      <c r="P76" s="13">
        <f t="shared" si="7"/>
        <v>45912</v>
      </c>
      <c r="Q76" s="14" t="s">
        <v>37</v>
      </c>
      <c r="R76" s="10" t="s">
        <v>37</v>
      </c>
      <c r="S76" s="10" t="s">
        <v>38</v>
      </c>
      <c r="T76" s="15"/>
      <c r="U76" s="10"/>
      <c r="V76" s="10"/>
      <c r="W76" s="10"/>
      <c r="X76" s="10"/>
      <c r="Y76" s="10"/>
      <c r="Z76" s="10"/>
      <c r="AA76" s="10"/>
      <c r="AB76" s="10"/>
      <c r="AC76" s="10"/>
      <c r="AD76" s="10"/>
      <c r="AE76" s="10"/>
      <c r="AF76" s="10"/>
      <c r="AG76" s="10"/>
      <c r="AH76" s="10"/>
    </row>
    <row r="77" ht="35.25" customHeight="1" spans="1:34">
      <c r="A77" s="10"/>
      <c r="B77" s="10">
        <f>VLOOKUP(C77,[1]Modelos!$B$2:$C$200,2,FALSE)</f>
        <v>0</v>
      </c>
      <c r="C77" s="10" t="s">
        <v>89</v>
      </c>
      <c r="D77" s="79" t="s">
        <v>50</v>
      </c>
      <c r="E77" s="10" t="s">
        <v>36</v>
      </c>
      <c r="F77" s="10"/>
      <c r="G77" s="12">
        <v>1499.9</v>
      </c>
      <c r="H77" s="12">
        <v>465.35</v>
      </c>
      <c r="I77" s="12">
        <f t="shared" si="4"/>
        <v>744.56</v>
      </c>
      <c r="J77" s="12">
        <f t="shared" si="5"/>
        <v>791.095</v>
      </c>
      <c r="K77" s="12">
        <v>850</v>
      </c>
      <c r="L77" s="12">
        <v>0</v>
      </c>
      <c r="M77" s="12">
        <f t="shared" si="6"/>
        <v>384.65</v>
      </c>
      <c r="N77" s="13">
        <v>45947</v>
      </c>
      <c r="P77" s="13">
        <f t="shared" si="7"/>
        <v>45951</v>
      </c>
      <c r="Q77" s="14" t="s">
        <v>37</v>
      </c>
      <c r="R77" s="10" t="s">
        <v>37</v>
      </c>
      <c r="S77" s="10"/>
      <c r="T77" s="15"/>
      <c r="U77" s="10"/>
      <c r="V77" s="10"/>
      <c r="W77" s="10"/>
      <c r="X77" s="10"/>
      <c r="Y77" s="10"/>
      <c r="Z77" s="10"/>
      <c r="AA77" s="10"/>
      <c r="AB77" s="10"/>
      <c r="AC77" s="10"/>
      <c r="AD77" s="10"/>
      <c r="AE77" s="10"/>
      <c r="AF77" s="10"/>
      <c r="AG77" s="10"/>
      <c r="AH77" s="10"/>
    </row>
    <row r="78" ht="35.25" customHeight="1" spans="1:34">
      <c r="A78" s="10"/>
      <c r="B78" s="10">
        <f>VLOOKUP(C78,[1]Modelos!$B$2:$C$200,2,FALSE)</f>
        <v>0</v>
      </c>
      <c r="C78" s="10" t="s">
        <v>89</v>
      </c>
      <c r="D78" s="79" t="s">
        <v>41</v>
      </c>
      <c r="E78" s="10" t="s">
        <v>36</v>
      </c>
      <c r="F78" s="10"/>
      <c r="G78" s="12">
        <v>1499.9</v>
      </c>
      <c r="H78" s="12">
        <v>465.35</v>
      </c>
      <c r="I78" s="12">
        <f t="shared" si="4"/>
        <v>744.56</v>
      </c>
      <c r="J78" s="12">
        <f t="shared" si="5"/>
        <v>791.095</v>
      </c>
      <c r="K78" s="12">
        <v>850</v>
      </c>
      <c r="L78" s="12">
        <v>0</v>
      </c>
      <c r="M78" s="12">
        <f t="shared" si="6"/>
        <v>384.65</v>
      </c>
      <c r="N78" s="13">
        <v>45947</v>
      </c>
      <c r="P78" s="13">
        <f t="shared" si="7"/>
        <v>45951</v>
      </c>
      <c r="Q78" s="14" t="s">
        <v>37</v>
      </c>
      <c r="R78" s="10" t="s">
        <v>37</v>
      </c>
      <c r="S78" s="10"/>
      <c r="T78" s="15"/>
      <c r="U78" s="10"/>
      <c r="V78" s="10"/>
      <c r="W78" s="10"/>
      <c r="X78" s="10"/>
      <c r="Y78" s="10"/>
      <c r="Z78" s="10"/>
      <c r="AA78" s="10"/>
      <c r="AB78" s="10"/>
      <c r="AC78" s="10"/>
      <c r="AD78" s="10"/>
      <c r="AE78" s="10"/>
      <c r="AF78" s="10"/>
      <c r="AG78" s="10"/>
      <c r="AH78" s="10"/>
    </row>
    <row r="79" ht="35.25" customHeight="1" spans="1:34">
      <c r="A79" s="10"/>
      <c r="B79" s="10">
        <f>VLOOKUP(C79,[1]Modelos!$B$2:$C$200,2,FALSE)</f>
        <v>0</v>
      </c>
      <c r="C79" s="10" t="s">
        <v>89</v>
      </c>
      <c r="D79" s="79" t="s">
        <v>35</v>
      </c>
      <c r="E79" s="10" t="s">
        <v>36</v>
      </c>
      <c r="F79" s="10"/>
      <c r="G79" s="12">
        <v>1499.9</v>
      </c>
      <c r="H79" s="12">
        <v>465.35</v>
      </c>
      <c r="I79" s="12">
        <f t="shared" si="4"/>
        <v>744.56</v>
      </c>
      <c r="J79" s="12">
        <f t="shared" si="5"/>
        <v>791.095</v>
      </c>
      <c r="K79" s="12">
        <v>850</v>
      </c>
      <c r="L79" s="12">
        <v>0</v>
      </c>
      <c r="M79" s="12">
        <f t="shared" si="6"/>
        <v>384.65</v>
      </c>
      <c r="N79" s="13">
        <v>45947</v>
      </c>
      <c r="P79" s="13">
        <f t="shared" si="7"/>
        <v>45951</v>
      </c>
      <c r="Q79" s="14" t="s">
        <v>37</v>
      </c>
      <c r="R79" s="10" t="s">
        <v>37</v>
      </c>
      <c r="S79" s="10"/>
      <c r="T79" s="15"/>
      <c r="U79" s="10"/>
      <c r="V79" s="10"/>
      <c r="W79" s="10"/>
      <c r="X79" s="10"/>
      <c r="Y79" s="10"/>
      <c r="Z79" s="10"/>
      <c r="AA79" s="10"/>
      <c r="AB79" s="10"/>
      <c r="AC79" s="10"/>
      <c r="AD79" s="10"/>
      <c r="AE79" s="10"/>
      <c r="AF79" s="10"/>
      <c r="AG79" s="10"/>
      <c r="AH79" s="10"/>
    </row>
    <row r="80" ht="35.25" customHeight="1" spans="1:34">
      <c r="A80" s="10"/>
      <c r="B80" s="10">
        <f>VLOOKUP(C80,[1]Modelos!$B$2:$C$200,2,FALSE)</f>
        <v>0</v>
      </c>
      <c r="C80" s="10" t="s">
        <v>89</v>
      </c>
      <c r="D80" s="79" t="s">
        <v>35</v>
      </c>
      <c r="E80" s="10" t="s">
        <v>36</v>
      </c>
      <c r="F80" s="10"/>
      <c r="G80" s="12">
        <v>1499.9</v>
      </c>
      <c r="H80" s="12">
        <v>465.35</v>
      </c>
      <c r="I80" s="12">
        <f t="shared" si="4"/>
        <v>744.56</v>
      </c>
      <c r="J80" s="12">
        <f t="shared" si="5"/>
        <v>791.095</v>
      </c>
      <c r="K80" s="12">
        <v>850</v>
      </c>
      <c r="L80" s="12">
        <v>0</v>
      </c>
      <c r="M80" s="12">
        <f t="shared" si="6"/>
        <v>384.65</v>
      </c>
      <c r="N80" s="13">
        <v>45947</v>
      </c>
      <c r="P80" s="13">
        <f t="shared" si="7"/>
        <v>45951</v>
      </c>
      <c r="Q80" s="14" t="s">
        <v>37</v>
      </c>
      <c r="R80" s="10" t="s">
        <v>37</v>
      </c>
      <c r="S80" s="10"/>
      <c r="T80" s="15"/>
      <c r="U80" s="10"/>
      <c r="V80" s="10"/>
      <c r="W80" s="10"/>
      <c r="X80" s="10"/>
      <c r="Y80" s="10"/>
      <c r="Z80" s="10"/>
      <c r="AA80" s="10"/>
      <c r="AB80" s="10"/>
      <c r="AC80" s="10"/>
      <c r="AD80" s="10"/>
      <c r="AE80" s="10"/>
      <c r="AF80" s="10"/>
      <c r="AG80" s="10"/>
      <c r="AH80" s="10"/>
    </row>
    <row r="81" ht="35.25" customHeight="1" spans="1:34">
      <c r="A81" s="10"/>
      <c r="B81" s="10">
        <f>VLOOKUP(C81,[1]Modelos!$B$2:$C$100,2,FALSE)</f>
        <v>0</v>
      </c>
      <c r="C81" s="10" t="s">
        <v>90</v>
      </c>
      <c r="D81" s="79" t="s">
        <v>43</v>
      </c>
      <c r="E81" s="10" t="s">
        <v>36</v>
      </c>
      <c r="F81" s="10"/>
      <c r="G81" s="12">
        <v>0</v>
      </c>
      <c r="H81" s="12">
        <v>0</v>
      </c>
      <c r="I81" s="12">
        <f t="shared" si="4"/>
        <v>0</v>
      </c>
      <c r="J81" s="12">
        <f t="shared" si="5"/>
        <v>0</v>
      </c>
      <c r="K81" s="12">
        <v>1100</v>
      </c>
      <c r="L81" s="12">
        <v>0</v>
      </c>
      <c r="M81" s="12">
        <f t="shared" si="6"/>
        <v>1100</v>
      </c>
      <c r="N81" s="13">
        <v>45917</v>
      </c>
      <c r="P81" s="13">
        <f t="shared" si="7"/>
        <v>45921</v>
      </c>
      <c r="Q81" s="14" t="s">
        <v>37</v>
      </c>
      <c r="R81" s="10" t="s">
        <v>37</v>
      </c>
      <c r="S81" s="10" t="s">
        <v>38</v>
      </c>
      <c r="T81" s="15"/>
      <c r="U81" s="10"/>
      <c r="V81" s="10"/>
      <c r="W81" s="10"/>
      <c r="X81" s="10"/>
      <c r="Y81" s="10"/>
      <c r="Z81" s="10"/>
      <c r="AA81" s="10"/>
      <c r="AB81" s="10"/>
      <c r="AC81" s="10"/>
      <c r="AD81" s="10"/>
      <c r="AE81" s="10"/>
      <c r="AF81" s="10"/>
      <c r="AG81" s="10"/>
      <c r="AH81" s="10"/>
    </row>
    <row r="82" ht="35.25" customHeight="1" spans="1:34">
      <c r="A82" s="9">
        <v>80</v>
      </c>
      <c r="B82" s="10">
        <f>VLOOKUP(C82,[1]Modelos!$B$2:$C$100,2,FALSE)</f>
        <v>0</v>
      </c>
      <c r="C82" s="10" t="s">
        <v>91</v>
      </c>
      <c r="D82" s="79" t="s">
        <v>43</v>
      </c>
      <c r="E82" s="10" t="s">
        <v>36</v>
      </c>
      <c r="F82" s="10"/>
      <c r="G82" s="12">
        <v>1600</v>
      </c>
      <c r="H82" s="12">
        <v>592</v>
      </c>
      <c r="I82" s="12">
        <f t="shared" si="4"/>
        <v>947.2</v>
      </c>
      <c r="J82" s="12">
        <f t="shared" si="5"/>
        <v>1006.4</v>
      </c>
      <c r="K82" s="12">
        <v>890</v>
      </c>
      <c r="L82" s="12">
        <v>890</v>
      </c>
      <c r="M82" s="12">
        <f t="shared" si="6"/>
        <v>298</v>
      </c>
      <c r="N82" s="13">
        <v>45908</v>
      </c>
      <c r="P82" s="15">
        <f t="shared" si="7"/>
        <v>45912</v>
      </c>
      <c r="Q82" s="14" t="s">
        <v>37</v>
      </c>
      <c r="R82" s="10" t="s">
        <v>37</v>
      </c>
      <c r="S82" s="10" t="s">
        <v>38</v>
      </c>
      <c r="T82" s="15"/>
      <c r="U82" s="10"/>
      <c r="V82" s="10"/>
      <c r="W82" s="10"/>
      <c r="X82" s="10"/>
      <c r="Y82" s="10"/>
      <c r="Z82" s="10"/>
      <c r="AA82" s="10"/>
      <c r="AB82" s="10"/>
      <c r="AC82" s="10"/>
      <c r="AD82" s="10"/>
      <c r="AE82" s="10"/>
      <c r="AF82" s="10"/>
      <c r="AG82" s="10"/>
      <c r="AH82" s="10"/>
    </row>
    <row r="83" ht="35.25" customHeight="1" spans="1:34">
      <c r="A83" s="32">
        <v>80</v>
      </c>
      <c r="B83" s="10">
        <f>VLOOKUP(C83,[1]Modelos!$B$2:$C$100,2,FALSE)</f>
        <v>0</v>
      </c>
      <c r="C83" s="10" t="s">
        <v>91</v>
      </c>
      <c r="D83" s="79" t="s">
        <v>43</v>
      </c>
      <c r="E83" s="10" t="s">
        <v>36</v>
      </c>
      <c r="F83" s="10"/>
      <c r="G83" s="12">
        <v>1600</v>
      </c>
      <c r="H83" s="12">
        <v>592</v>
      </c>
      <c r="I83" s="12">
        <f t="shared" si="4"/>
        <v>947.2</v>
      </c>
      <c r="J83" s="12">
        <f t="shared" si="5"/>
        <v>1006.4</v>
      </c>
      <c r="K83" s="12">
        <v>890</v>
      </c>
      <c r="L83" s="12">
        <v>890</v>
      </c>
      <c r="M83" s="12">
        <f t="shared" si="6"/>
        <v>298</v>
      </c>
      <c r="N83" s="13">
        <v>45908</v>
      </c>
      <c r="P83" s="15">
        <f t="shared" si="7"/>
        <v>45912</v>
      </c>
      <c r="Q83" s="14" t="s">
        <v>37</v>
      </c>
      <c r="R83" s="10" t="s">
        <v>37</v>
      </c>
      <c r="S83" s="10" t="s">
        <v>38</v>
      </c>
      <c r="T83" s="15"/>
      <c r="U83" s="10"/>
      <c r="V83" s="10"/>
      <c r="W83" s="10"/>
      <c r="X83" s="10"/>
      <c r="Y83" s="10"/>
      <c r="Z83" s="10"/>
      <c r="AA83" s="10"/>
      <c r="AB83" s="10"/>
      <c r="AC83" s="10"/>
      <c r="AD83" s="10"/>
      <c r="AE83" s="10"/>
      <c r="AF83" s="10"/>
      <c r="AG83" s="10"/>
      <c r="AH83" s="10"/>
    </row>
    <row r="84" ht="35.25" customHeight="1" spans="1:34">
      <c r="A84" s="9">
        <v>80</v>
      </c>
      <c r="B84" s="10">
        <f>VLOOKUP(C84,[1]Modelos!$B$2:$C$100,2,FALSE)</f>
        <v>0</v>
      </c>
      <c r="C84" s="10" t="s">
        <v>91</v>
      </c>
      <c r="D84" s="79" t="s">
        <v>43</v>
      </c>
      <c r="E84" s="10" t="s">
        <v>36</v>
      </c>
      <c r="F84" s="10"/>
      <c r="G84" s="12">
        <v>1600</v>
      </c>
      <c r="H84" s="12">
        <v>592</v>
      </c>
      <c r="I84" s="12">
        <f t="shared" si="4"/>
        <v>947.2</v>
      </c>
      <c r="J84" s="12">
        <f t="shared" si="5"/>
        <v>1006.4</v>
      </c>
      <c r="K84" s="12">
        <v>890</v>
      </c>
      <c r="L84" s="12">
        <v>890</v>
      </c>
      <c r="M84" s="12">
        <f t="shared" si="6"/>
        <v>298</v>
      </c>
      <c r="N84" s="13">
        <v>45908</v>
      </c>
      <c r="P84" s="15">
        <f t="shared" si="7"/>
        <v>45912</v>
      </c>
      <c r="Q84" s="14" t="s">
        <v>37</v>
      </c>
      <c r="R84" s="10" t="s">
        <v>37</v>
      </c>
      <c r="S84" s="10" t="s">
        <v>38</v>
      </c>
      <c r="T84" s="15"/>
      <c r="U84" s="10"/>
      <c r="V84" s="10"/>
      <c r="W84" s="10"/>
      <c r="X84" s="10"/>
      <c r="Y84" s="10"/>
      <c r="Z84" s="10"/>
      <c r="AA84" s="10"/>
      <c r="AB84" s="10"/>
      <c r="AC84" s="10"/>
      <c r="AD84" s="10"/>
      <c r="AE84" s="10"/>
      <c r="AF84" s="10"/>
      <c r="AG84" s="10"/>
      <c r="AH84" s="10"/>
    </row>
    <row r="85" ht="35.25" customHeight="1" spans="1:34">
      <c r="A85" s="9">
        <v>80</v>
      </c>
      <c r="B85" s="10">
        <f>VLOOKUP(C85,[1]Modelos!$B$2:$C$100,2,FALSE)</f>
        <v>0</v>
      </c>
      <c r="C85" s="10" t="s">
        <v>91</v>
      </c>
      <c r="D85" s="79" t="s">
        <v>43</v>
      </c>
      <c r="E85" s="10" t="s">
        <v>36</v>
      </c>
      <c r="F85" s="10"/>
      <c r="G85" s="12">
        <v>1600</v>
      </c>
      <c r="H85" s="12">
        <v>592</v>
      </c>
      <c r="I85" s="12">
        <f t="shared" si="4"/>
        <v>947.2</v>
      </c>
      <c r="J85" s="12">
        <f t="shared" si="5"/>
        <v>1006.4</v>
      </c>
      <c r="K85" s="12">
        <v>890</v>
      </c>
      <c r="L85" s="12">
        <v>890</v>
      </c>
      <c r="M85" s="12">
        <f t="shared" si="6"/>
        <v>298</v>
      </c>
      <c r="N85" s="13">
        <v>45908</v>
      </c>
      <c r="P85" s="15">
        <f t="shared" si="7"/>
        <v>45912</v>
      </c>
      <c r="Q85" s="14" t="s">
        <v>37</v>
      </c>
      <c r="R85" s="10" t="s">
        <v>37</v>
      </c>
      <c r="S85" s="10" t="s">
        <v>38</v>
      </c>
      <c r="T85" s="15"/>
      <c r="U85" s="10"/>
      <c r="V85" s="10"/>
      <c r="W85" s="10"/>
      <c r="X85" s="10"/>
      <c r="Y85" s="10"/>
      <c r="Z85" s="10"/>
      <c r="AA85" s="10"/>
      <c r="AB85" s="10"/>
      <c r="AC85" s="10"/>
      <c r="AD85" s="10"/>
      <c r="AE85" s="10"/>
      <c r="AF85" s="10"/>
      <c r="AG85" s="10"/>
      <c r="AH85" s="10"/>
    </row>
    <row r="86" ht="35.25" customHeight="1" spans="1:34">
      <c r="A86" s="9">
        <v>80</v>
      </c>
      <c r="B86" s="10">
        <f>VLOOKUP(C86,[1]Modelos!$B$2:$C$100,2,FALSE)</f>
        <v>0</v>
      </c>
      <c r="C86" s="10" t="s">
        <v>91</v>
      </c>
      <c r="D86" s="79" t="s">
        <v>43</v>
      </c>
      <c r="E86" s="10" t="s">
        <v>36</v>
      </c>
      <c r="F86" s="10"/>
      <c r="G86" s="12">
        <v>1600</v>
      </c>
      <c r="H86" s="12">
        <v>592</v>
      </c>
      <c r="I86" s="12">
        <f t="shared" si="4"/>
        <v>947.2</v>
      </c>
      <c r="J86" s="12">
        <f t="shared" si="5"/>
        <v>1006.4</v>
      </c>
      <c r="K86" s="12">
        <v>890</v>
      </c>
      <c r="L86" s="12">
        <v>890</v>
      </c>
      <c r="M86" s="12">
        <f t="shared" si="6"/>
        <v>298</v>
      </c>
      <c r="N86" s="13">
        <v>45908</v>
      </c>
      <c r="P86" s="15">
        <f t="shared" si="7"/>
        <v>45912</v>
      </c>
      <c r="Q86" s="14" t="s">
        <v>37</v>
      </c>
      <c r="R86" s="10" t="s">
        <v>37</v>
      </c>
      <c r="S86" s="10" t="s">
        <v>38</v>
      </c>
      <c r="T86" s="15"/>
      <c r="U86" s="10"/>
      <c r="V86" s="10"/>
      <c r="W86" s="10"/>
      <c r="X86" s="10"/>
      <c r="Y86" s="10"/>
      <c r="Z86" s="10"/>
      <c r="AA86" s="10"/>
      <c r="AB86" s="10"/>
      <c r="AC86" s="10"/>
      <c r="AD86" s="10"/>
      <c r="AE86" s="10"/>
      <c r="AF86" s="10"/>
      <c r="AG86" s="10"/>
      <c r="AH86" s="10"/>
    </row>
    <row r="87" ht="35.25" customHeight="1" spans="1:34">
      <c r="A87" s="9">
        <v>2</v>
      </c>
      <c r="B87" s="10">
        <f>VLOOKUP(C87,[1]Modelos!$B$2:$C$100,2,FALSE)</f>
        <v>0</v>
      </c>
      <c r="C87" s="10" t="s">
        <v>92</v>
      </c>
      <c r="D87" s="79" t="s">
        <v>35</v>
      </c>
      <c r="E87" s="10" t="s">
        <v>36</v>
      </c>
      <c r="F87" s="10"/>
      <c r="G87" s="12"/>
      <c r="H87" s="12"/>
      <c r="I87" s="12">
        <f t="shared" si="4"/>
        <v>0</v>
      </c>
      <c r="J87" s="12">
        <f t="shared" si="5"/>
        <v>0</v>
      </c>
      <c r="K87" s="12">
        <v>850</v>
      </c>
      <c r="L87" s="12">
        <v>0</v>
      </c>
      <c r="M87" s="12">
        <f t="shared" si="6"/>
        <v>850</v>
      </c>
      <c r="N87" s="13">
        <v>45908</v>
      </c>
      <c r="P87" s="13">
        <f t="shared" si="7"/>
        <v>45912</v>
      </c>
      <c r="Q87" s="14" t="s">
        <v>37</v>
      </c>
      <c r="R87" s="10" t="s">
        <v>37</v>
      </c>
      <c r="S87" s="10" t="s">
        <v>38</v>
      </c>
      <c r="T87" s="15"/>
      <c r="U87" s="10"/>
      <c r="V87" s="10"/>
      <c r="W87" s="10"/>
      <c r="X87" s="10"/>
      <c r="Y87" s="10"/>
      <c r="Z87" s="10"/>
      <c r="AA87" s="10"/>
      <c r="AB87" s="10"/>
      <c r="AC87" s="10"/>
      <c r="AD87" s="10"/>
      <c r="AE87" s="10"/>
      <c r="AF87" s="10"/>
      <c r="AG87" s="10"/>
      <c r="AH87" s="10"/>
    </row>
    <row r="88" ht="35.25" customHeight="1" spans="1:34">
      <c r="A88" s="10"/>
      <c r="B88" s="10">
        <f>VLOOKUP(C88,[1]Modelos!$B$2:$C$100,2,FALSE)</f>
        <v>0</v>
      </c>
      <c r="C88" s="10" t="s">
        <v>78</v>
      </c>
      <c r="D88" s="79" t="s">
        <v>43</v>
      </c>
      <c r="E88" s="10" t="s">
        <v>36</v>
      </c>
      <c r="F88" s="10"/>
      <c r="G88" s="12">
        <v>1050</v>
      </c>
      <c r="H88" s="12">
        <v>333</v>
      </c>
      <c r="I88" s="12">
        <f t="shared" si="4"/>
        <v>532.8</v>
      </c>
      <c r="J88" s="12">
        <f t="shared" si="5"/>
        <v>566.1</v>
      </c>
      <c r="K88" s="12">
        <v>590</v>
      </c>
      <c r="L88" s="12">
        <v>200</v>
      </c>
      <c r="M88" s="12">
        <f t="shared" si="6"/>
        <v>257</v>
      </c>
      <c r="N88" s="13">
        <v>45917</v>
      </c>
      <c r="P88" s="13">
        <f t="shared" si="7"/>
        <v>45921</v>
      </c>
      <c r="Q88" s="14" t="s">
        <v>37</v>
      </c>
      <c r="R88" s="10" t="s">
        <v>37</v>
      </c>
      <c r="S88" s="10" t="s">
        <v>38</v>
      </c>
      <c r="T88" s="15"/>
      <c r="U88" s="10"/>
      <c r="V88" s="10"/>
      <c r="W88" s="10"/>
      <c r="X88" s="10"/>
      <c r="Y88" s="10"/>
      <c r="Z88" s="10"/>
      <c r="AA88" s="10"/>
      <c r="AB88" s="10"/>
      <c r="AC88" s="10"/>
      <c r="AD88" s="10"/>
      <c r="AE88" s="10"/>
      <c r="AF88" s="10"/>
      <c r="AG88" s="10"/>
      <c r="AH88" s="10"/>
    </row>
    <row r="89" ht="35.25" customHeight="1" spans="1:34">
      <c r="A89" s="9">
        <v>3</v>
      </c>
      <c r="B89" s="10">
        <f>VLOOKUP(C89,[1]Modelos!$B$2:$C$100,2,FALSE)</f>
        <v>0</v>
      </c>
      <c r="C89" s="10" t="s">
        <v>93</v>
      </c>
      <c r="D89" s="79" t="s">
        <v>35</v>
      </c>
      <c r="E89" s="10" t="s">
        <v>36</v>
      </c>
      <c r="F89" s="10"/>
      <c r="G89" s="12">
        <v>1000</v>
      </c>
      <c r="H89" s="12">
        <v>340</v>
      </c>
      <c r="I89" s="12">
        <f t="shared" si="4"/>
        <v>544</v>
      </c>
      <c r="J89" s="12">
        <f t="shared" si="5"/>
        <v>578</v>
      </c>
      <c r="K89" s="12">
        <v>760</v>
      </c>
      <c r="L89" s="12">
        <v>0</v>
      </c>
      <c r="M89" s="12">
        <f t="shared" si="6"/>
        <v>420</v>
      </c>
      <c r="N89" s="13">
        <v>45908</v>
      </c>
      <c r="P89" s="13">
        <f t="shared" si="7"/>
        <v>45912</v>
      </c>
      <c r="Q89" s="14" t="s">
        <v>37</v>
      </c>
      <c r="R89" s="10" t="s">
        <v>37</v>
      </c>
      <c r="S89" s="10" t="s">
        <v>38</v>
      </c>
      <c r="T89" s="15"/>
      <c r="U89" s="10"/>
      <c r="V89" s="10"/>
      <c r="W89" s="10"/>
      <c r="X89" s="10"/>
      <c r="Y89" s="10"/>
      <c r="Z89" s="10"/>
      <c r="AA89" s="10"/>
      <c r="AB89" s="10"/>
      <c r="AC89" s="10"/>
      <c r="AD89" s="10"/>
      <c r="AE89" s="10"/>
      <c r="AF89" s="10"/>
      <c r="AG89" s="10"/>
      <c r="AH89" s="10"/>
    </row>
    <row r="90" ht="35.25" customHeight="1" spans="1:34">
      <c r="A90" s="9">
        <v>4</v>
      </c>
      <c r="B90" s="10">
        <f>VLOOKUP(C90,[1]Modelos!$B$2:$C$100,2,FALSE)</f>
        <v>0</v>
      </c>
      <c r="C90" s="10" t="s">
        <v>93</v>
      </c>
      <c r="D90" s="79" t="s">
        <v>35</v>
      </c>
      <c r="E90" s="10" t="s">
        <v>36</v>
      </c>
      <c r="F90" s="10"/>
      <c r="G90" s="12">
        <v>1000</v>
      </c>
      <c r="H90" s="12">
        <v>340</v>
      </c>
      <c r="I90" s="12">
        <f t="shared" si="4"/>
        <v>544</v>
      </c>
      <c r="J90" s="12">
        <f t="shared" si="5"/>
        <v>578</v>
      </c>
      <c r="K90" s="12">
        <v>760</v>
      </c>
      <c r="L90" s="12">
        <v>0</v>
      </c>
      <c r="M90" s="12">
        <f t="shared" si="6"/>
        <v>420</v>
      </c>
      <c r="N90" s="13">
        <v>45908</v>
      </c>
      <c r="P90" s="13">
        <f t="shared" si="7"/>
        <v>45912</v>
      </c>
      <c r="Q90" s="14" t="s">
        <v>37</v>
      </c>
      <c r="R90" s="10" t="s">
        <v>37</v>
      </c>
      <c r="S90" s="10" t="s">
        <v>38</v>
      </c>
      <c r="T90" s="15"/>
      <c r="U90" s="10"/>
      <c r="V90" s="10"/>
      <c r="W90" s="10"/>
      <c r="X90" s="10"/>
      <c r="Y90" s="10"/>
      <c r="Z90" s="10"/>
      <c r="AA90" s="10"/>
      <c r="AB90" s="10"/>
      <c r="AC90" s="10"/>
      <c r="AD90" s="10"/>
      <c r="AE90" s="10"/>
      <c r="AF90" s="10"/>
      <c r="AG90" s="10"/>
      <c r="AH90" s="10"/>
    </row>
    <row r="91" ht="35.25" customHeight="1" spans="1:34">
      <c r="A91" s="9">
        <v>8</v>
      </c>
      <c r="B91" s="10">
        <f>VLOOKUP(C91,[1]Modelos!$B$2:$C$100,2,FALSE)</f>
        <v>0</v>
      </c>
      <c r="C91" s="10" t="s">
        <v>94</v>
      </c>
      <c r="D91" s="79" t="s">
        <v>35</v>
      </c>
      <c r="E91" s="10" t="s">
        <v>36</v>
      </c>
      <c r="F91" s="10"/>
      <c r="G91" s="12"/>
      <c r="H91" s="12"/>
      <c r="I91" s="12">
        <f t="shared" si="4"/>
        <v>0</v>
      </c>
      <c r="J91" s="12">
        <f t="shared" si="5"/>
        <v>0</v>
      </c>
      <c r="K91" s="12">
        <v>780</v>
      </c>
      <c r="L91" s="12">
        <v>0</v>
      </c>
      <c r="M91" s="12">
        <f t="shared" si="6"/>
        <v>780</v>
      </c>
      <c r="N91" s="13">
        <v>45908</v>
      </c>
      <c r="P91" s="13">
        <f t="shared" si="7"/>
        <v>45912</v>
      </c>
      <c r="Q91" s="14" t="s">
        <v>37</v>
      </c>
      <c r="R91" s="10" t="s">
        <v>37</v>
      </c>
      <c r="S91" s="10" t="s">
        <v>38</v>
      </c>
      <c r="T91" s="15"/>
      <c r="U91" s="10"/>
      <c r="V91" s="10"/>
      <c r="W91" s="10"/>
      <c r="X91" s="10"/>
      <c r="Y91" s="10"/>
      <c r="Z91" s="10"/>
      <c r="AA91" s="10"/>
      <c r="AB91" s="10"/>
      <c r="AC91" s="10"/>
      <c r="AD91" s="10"/>
      <c r="AE91" s="10"/>
      <c r="AF91" s="10"/>
      <c r="AG91" s="10"/>
      <c r="AH91" s="10"/>
    </row>
    <row r="92" ht="35.25" customHeight="1" spans="1:34">
      <c r="A92" s="9">
        <v>50</v>
      </c>
      <c r="B92" s="10">
        <f>VLOOKUP(C92,[1]Modelos!$B$2:$C$100,2,FALSE)</f>
        <v>0</v>
      </c>
      <c r="C92" s="10" t="s">
        <v>95</v>
      </c>
      <c r="D92" s="79" t="s">
        <v>41</v>
      </c>
      <c r="E92" s="10" t="s">
        <v>36</v>
      </c>
      <c r="F92" s="10"/>
      <c r="G92" s="12"/>
      <c r="H92" s="12"/>
      <c r="I92" s="12">
        <f t="shared" si="4"/>
        <v>0</v>
      </c>
      <c r="J92" s="12">
        <f t="shared" si="5"/>
        <v>0</v>
      </c>
      <c r="K92" s="12">
        <v>790</v>
      </c>
      <c r="L92" s="12">
        <v>0</v>
      </c>
      <c r="M92" s="12">
        <f t="shared" si="6"/>
        <v>790</v>
      </c>
      <c r="N92" s="13">
        <v>45908</v>
      </c>
      <c r="P92" s="13">
        <f t="shared" si="7"/>
        <v>45912</v>
      </c>
      <c r="Q92" s="14" t="s">
        <v>37</v>
      </c>
      <c r="R92" s="10" t="s">
        <v>37</v>
      </c>
      <c r="S92" s="10" t="s">
        <v>38</v>
      </c>
      <c r="T92" s="15"/>
      <c r="U92" s="10"/>
      <c r="V92" s="10"/>
      <c r="W92" s="10"/>
      <c r="X92" s="10"/>
      <c r="Y92" s="10"/>
      <c r="Z92" s="10"/>
      <c r="AA92" s="10"/>
      <c r="AB92" s="10"/>
      <c r="AC92" s="10"/>
      <c r="AD92" s="10"/>
      <c r="AE92" s="10"/>
      <c r="AF92" s="10"/>
      <c r="AG92" s="10"/>
      <c r="AH92" s="10"/>
    </row>
    <row r="93" ht="35.25" customHeight="1" spans="1:34">
      <c r="A93" s="9">
        <v>51</v>
      </c>
      <c r="B93" s="10">
        <f>VLOOKUP(C93,[1]Modelos!$B$2:$C$100,2,FALSE)</f>
        <v>0</v>
      </c>
      <c r="C93" s="10" t="s">
        <v>95</v>
      </c>
      <c r="D93" s="79" t="s">
        <v>56</v>
      </c>
      <c r="E93" s="10" t="s">
        <v>36</v>
      </c>
      <c r="F93" s="10"/>
      <c r="G93" s="12"/>
      <c r="H93" s="12"/>
      <c r="I93" s="12">
        <f t="shared" si="4"/>
        <v>0</v>
      </c>
      <c r="J93" s="12">
        <f t="shared" si="5"/>
        <v>0</v>
      </c>
      <c r="K93" s="12">
        <v>790</v>
      </c>
      <c r="L93" s="12">
        <v>0</v>
      </c>
      <c r="M93" s="12">
        <f t="shared" si="6"/>
        <v>790</v>
      </c>
      <c r="N93" s="13">
        <v>45908</v>
      </c>
      <c r="P93" s="13">
        <f t="shared" si="7"/>
        <v>45912</v>
      </c>
      <c r="Q93" s="14" t="s">
        <v>37</v>
      </c>
      <c r="R93" s="10" t="s">
        <v>37</v>
      </c>
      <c r="S93" s="10" t="s">
        <v>38</v>
      </c>
      <c r="T93" s="15"/>
      <c r="U93" s="10"/>
      <c r="V93" s="10"/>
      <c r="W93" s="10"/>
      <c r="X93" s="10"/>
      <c r="Y93" s="10"/>
      <c r="Z93" s="10"/>
      <c r="AA93" s="10"/>
      <c r="AB93" s="10"/>
      <c r="AC93" s="10"/>
      <c r="AD93" s="10"/>
      <c r="AE93" s="10"/>
      <c r="AF93" s="10"/>
      <c r="AG93" s="10"/>
      <c r="AH93" s="10"/>
    </row>
    <row r="94" ht="35.25" customHeight="1" spans="1:34">
      <c r="A94" s="10"/>
      <c r="B94" s="10">
        <f>VLOOKUP(C94,[1]Modelos!$B$2:$C$100,2,FALSE)</f>
        <v>0</v>
      </c>
      <c r="C94" s="10" t="s">
        <v>96</v>
      </c>
      <c r="D94" s="79" t="s">
        <v>41</v>
      </c>
      <c r="E94" s="10" t="s">
        <v>36</v>
      </c>
      <c r="F94" s="10"/>
      <c r="G94" s="12">
        <v>900</v>
      </c>
      <c r="H94" s="12">
        <v>320</v>
      </c>
      <c r="I94" s="12">
        <f t="shared" si="4"/>
        <v>512</v>
      </c>
      <c r="J94" s="12">
        <f t="shared" si="5"/>
        <v>544</v>
      </c>
      <c r="K94" s="12">
        <v>660</v>
      </c>
      <c r="L94" s="12">
        <v>0</v>
      </c>
      <c r="M94" s="12">
        <f t="shared" si="6"/>
        <v>340</v>
      </c>
      <c r="N94" s="13">
        <v>45917</v>
      </c>
      <c r="P94" s="13">
        <f t="shared" si="7"/>
        <v>45921</v>
      </c>
      <c r="Q94" s="14" t="s">
        <v>37</v>
      </c>
      <c r="R94" s="10" t="s">
        <v>37</v>
      </c>
      <c r="S94" s="10" t="s">
        <v>38</v>
      </c>
      <c r="T94" s="15"/>
      <c r="U94" s="10"/>
      <c r="V94" s="10"/>
      <c r="W94" s="10"/>
      <c r="X94" s="10"/>
      <c r="Y94" s="10"/>
      <c r="Z94" s="10"/>
      <c r="AA94" s="10"/>
      <c r="AB94" s="10"/>
      <c r="AC94" s="10"/>
      <c r="AD94" s="10"/>
      <c r="AE94" s="10"/>
      <c r="AF94" s="10"/>
      <c r="AG94" s="10"/>
      <c r="AH94" s="10"/>
    </row>
    <row r="95" ht="35.25" customHeight="1" spans="1:34">
      <c r="A95" s="10"/>
      <c r="B95" s="10">
        <f>VLOOKUP(C95,[1]Modelos!$B$2:$C$100,2,FALSE)</f>
        <v>0</v>
      </c>
      <c r="C95" s="10" t="s">
        <v>97</v>
      </c>
      <c r="D95" s="79" t="s">
        <v>50</v>
      </c>
      <c r="E95" s="10" t="s">
        <v>36</v>
      </c>
      <c r="F95" s="10"/>
      <c r="G95" s="12">
        <v>899.9</v>
      </c>
      <c r="H95" s="12">
        <v>299.67</v>
      </c>
      <c r="I95" s="12">
        <f t="shared" si="4"/>
        <v>479.472</v>
      </c>
      <c r="J95" s="12">
        <f t="shared" si="5"/>
        <v>509.439</v>
      </c>
      <c r="K95" s="12">
        <v>690</v>
      </c>
      <c r="L95" s="12">
        <v>0</v>
      </c>
      <c r="M95" s="12">
        <f t="shared" si="6"/>
        <v>390.33</v>
      </c>
      <c r="N95" s="13">
        <v>45917</v>
      </c>
      <c r="P95" s="13">
        <f t="shared" si="7"/>
        <v>45921</v>
      </c>
      <c r="Q95" s="14" t="s">
        <v>37</v>
      </c>
      <c r="R95" s="10" t="s">
        <v>37</v>
      </c>
      <c r="S95" s="10" t="s">
        <v>38</v>
      </c>
      <c r="T95" s="15"/>
      <c r="U95" s="10"/>
      <c r="V95" s="10"/>
      <c r="W95" s="10"/>
      <c r="X95" s="10"/>
      <c r="Y95" s="10"/>
      <c r="Z95" s="10"/>
      <c r="AA95" s="10"/>
      <c r="AB95" s="10"/>
      <c r="AC95" s="10"/>
      <c r="AD95" s="10"/>
      <c r="AE95" s="10"/>
      <c r="AF95" s="10"/>
      <c r="AG95" s="10"/>
      <c r="AH95" s="10"/>
    </row>
    <row r="96" ht="35.25" customHeight="1" spans="1:34">
      <c r="A96" s="10"/>
      <c r="B96" s="10">
        <f>VLOOKUP(C96,[1]Modelos!$B$2:$C$100,2,FALSE)</f>
        <v>0</v>
      </c>
      <c r="C96" s="10" t="s">
        <v>98</v>
      </c>
      <c r="D96" s="79" t="s">
        <v>41</v>
      </c>
      <c r="E96" s="10" t="s">
        <v>36</v>
      </c>
      <c r="F96" s="10"/>
      <c r="G96" s="12">
        <v>1000</v>
      </c>
      <c r="H96" s="12">
        <v>340</v>
      </c>
      <c r="I96" s="12">
        <f t="shared" si="4"/>
        <v>544</v>
      </c>
      <c r="J96" s="12">
        <f t="shared" si="5"/>
        <v>578</v>
      </c>
      <c r="K96" s="12">
        <v>650</v>
      </c>
      <c r="L96" s="12">
        <v>0</v>
      </c>
      <c r="M96" s="12">
        <f t="shared" si="6"/>
        <v>310</v>
      </c>
      <c r="N96" s="13">
        <v>45917</v>
      </c>
      <c r="P96" s="13">
        <f t="shared" si="7"/>
        <v>45921</v>
      </c>
      <c r="Q96" s="14" t="s">
        <v>37</v>
      </c>
      <c r="R96" s="10" t="s">
        <v>37</v>
      </c>
      <c r="S96" s="10" t="s">
        <v>38</v>
      </c>
      <c r="T96" s="15"/>
      <c r="U96" s="10"/>
      <c r="V96" s="10"/>
      <c r="W96" s="10"/>
      <c r="X96" s="10"/>
      <c r="Y96" s="10"/>
      <c r="Z96" s="10"/>
      <c r="AA96" s="10"/>
      <c r="AB96" s="10"/>
      <c r="AC96" s="10"/>
      <c r="AD96" s="10"/>
      <c r="AE96" s="10"/>
      <c r="AF96" s="10"/>
      <c r="AG96" s="10"/>
      <c r="AH96" s="10"/>
    </row>
    <row r="97" ht="35.25" customHeight="1" spans="1:34">
      <c r="A97" s="10"/>
      <c r="B97" s="10">
        <f>VLOOKUP(C97,[1]Modelos!$B$2:$C$100,2,FALSE)</f>
        <v>0</v>
      </c>
      <c r="C97" s="10" t="s">
        <v>98</v>
      </c>
      <c r="D97" s="79" t="s">
        <v>50</v>
      </c>
      <c r="E97" s="10" t="s">
        <v>36</v>
      </c>
      <c r="F97" s="10"/>
      <c r="G97" s="12">
        <v>1000</v>
      </c>
      <c r="H97" s="12">
        <v>340</v>
      </c>
      <c r="I97" s="12">
        <f t="shared" si="4"/>
        <v>544</v>
      </c>
      <c r="J97" s="12">
        <f t="shared" si="5"/>
        <v>578</v>
      </c>
      <c r="K97" s="12">
        <v>650</v>
      </c>
      <c r="L97" s="12">
        <v>0</v>
      </c>
      <c r="M97" s="12">
        <f t="shared" si="6"/>
        <v>310</v>
      </c>
      <c r="N97" s="13">
        <v>45917</v>
      </c>
      <c r="P97" s="13">
        <f t="shared" si="7"/>
        <v>45921</v>
      </c>
      <c r="Q97" s="14" t="s">
        <v>37</v>
      </c>
      <c r="R97" s="10" t="s">
        <v>37</v>
      </c>
      <c r="S97" s="10" t="s">
        <v>38</v>
      </c>
      <c r="T97" s="15"/>
      <c r="U97" s="10"/>
      <c r="V97" s="10"/>
      <c r="W97" s="10"/>
      <c r="X97" s="10"/>
      <c r="Y97" s="10"/>
      <c r="Z97" s="10"/>
      <c r="AA97" s="10"/>
      <c r="AB97" s="10"/>
      <c r="AC97" s="10"/>
      <c r="AD97" s="10"/>
      <c r="AE97" s="10"/>
      <c r="AF97" s="10"/>
      <c r="AG97" s="10"/>
      <c r="AH97" s="10"/>
    </row>
    <row r="98" ht="40.5" customHeight="1" spans="1:34">
      <c r="A98" s="10"/>
      <c r="B98" s="10">
        <f>VLOOKUP(C98,[1]Modelos!$B$2:$C$200,2,FALSE)</f>
        <v>0</v>
      </c>
      <c r="C98" s="10" t="s">
        <v>99</v>
      </c>
      <c r="D98" s="79" t="s">
        <v>50</v>
      </c>
      <c r="E98" s="10" t="s">
        <v>36</v>
      </c>
      <c r="F98" s="10"/>
      <c r="G98" s="12">
        <v>1000</v>
      </c>
      <c r="H98" s="12">
        <v>340</v>
      </c>
      <c r="I98" s="12">
        <f t="shared" si="4"/>
        <v>544</v>
      </c>
      <c r="J98" s="12">
        <f t="shared" si="5"/>
        <v>578</v>
      </c>
      <c r="K98" s="12">
        <v>650</v>
      </c>
      <c r="L98" s="12">
        <v>0</v>
      </c>
      <c r="M98" s="12">
        <f t="shared" si="6"/>
        <v>310</v>
      </c>
      <c r="N98" s="13">
        <v>45917</v>
      </c>
      <c r="P98" s="13">
        <f t="shared" si="7"/>
        <v>45921</v>
      </c>
      <c r="Q98" s="14" t="s">
        <v>37</v>
      </c>
      <c r="R98" s="10" t="s">
        <v>37</v>
      </c>
      <c r="S98" s="10" t="s">
        <v>38</v>
      </c>
      <c r="T98" s="15"/>
      <c r="U98" s="10"/>
      <c r="V98" s="10"/>
      <c r="W98" s="10"/>
      <c r="X98" s="10"/>
      <c r="Y98" s="10"/>
      <c r="Z98" s="10"/>
      <c r="AA98" s="10"/>
      <c r="AB98" s="10"/>
      <c r="AC98" s="10"/>
      <c r="AD98" s="10"/>
      <c r="AE98" s="10"/>
      <c r="AF98" s="10"/>
      <c r="AG98" s="10"/>
      <c r="AH98" s="10"/>
    </row>
    <row r="99" ht="35.25" customHeight="1" spans="1:34">
      <c r="A99" s="9">
        <v>73</v>
      </c>
      <c r="B99" s="10">
        <f>VLOOKUP(C99,[1]Modelos!$B$2:$C$100,2,FALSE)</f>
        <v>0</v>
      </c>
      <c r="C99" s="10" t="s">
        <v>100</v>
      </c>
      <c r="D99" s="79" t="s">
        <v>50</v>
      </c>
      <c r="E99" s="10" t="s">
        <v>36</v>
      </c>
      <c r="F99" s="10"/>
      <c r="G99" s="12">
        <v>1800</v>
      </c>
      <c r="H99" s="12">
        <v>528</v>
      </c>
      <c r="I99" s="12">
        <f t="shared" si="4"/>
        <v>844.8</v>
      </c>
      <c r="J99" s="12">
        <f t="shared" si="5"/>
        <v>897.6</v>
      </c>
      <c r="K99" s="12">
        <v>880</v>
      </c>
      <c r="L99" s="12">
        <v>0</v>
      </c>
      <c r="M99" s="12">
        <f t="shared" si="6"/>
        <v>352</v>
      </c>
      <c r="N99" s="13">
        <v>45908</v>
      </c>
      <c r="P99" s="15">
        <f t="shared" si="7"/>
        <v>45912</v>
      </c>
      <c r="Q99" s="14" t="s">
        <v>37</v>
      </c>
      <c r="R99" s="10" t="s">
        <v>37</v>
      </c>
      <c r="S99" s="10" t="s">
        <v>38</v>
      </c>
      <c r="T99" s="15"/>
      <c r="U99" s="10"/>
      <c r="V99" s="10"/>
      <c r="W99" s="10"/>
      <c r="X99" s="10"/>
      <c r="Y99" s="10"/>
      <c r="Z99" s="10"/>
      <c r="AA99" s="10"/>
      <c r="AB99" s="10"/>
      <c r="AC99" s="10"/>
      <c r="AD99" s="10"/>
      <c r="AE99" s="10"/>
      <c r="AF99" s="10"/>
      <c r="AG99" s="10"/>
      <c r="AH99" s="10"/>
    </row>
    <row r="100" ht="35.25" customHeight="1" spans="1:34">
      <c r="A100" s="9">
        <v>74</v>
      </c>
      <c r="B100" s="10">
        <f>VLOOKUP(C100,[1]Modelos!$B$2:$C$100,2,FALSE)</f>
        <v>0</v>
      </c>
      <c r="C100" s="10" t="s">
        <v>100</v>
      </c>
      <c r="D100" s="79" t="s">
        <v>41</v>
      </c>
      <c r="E100" s="10" t="s">
        <v>36</v>
      </c>
      <c r="F100" s="10"/>
      <c r="G100" s="12">
        <v>1800</v>
      </c>
      <c r="H100" s="12">
        <v>528</v>
      </c>
      <c r="I100" s="12">
        <f t="shared" si="4"/>
        <v>844.8</v>
      </c>
      <c r="J100" s="12">
        <f t="shared" si="5"/>
        <v>897.6</v>
      </c>
      <c r="K100" s="12">
        <v>880</v>
      </c>
      <c r="L100" s="12">
        <v>0</v>
      </c>
      <c r="M100" s="12">
        <f t="shared" si="6"/>
        <v>352</v>
      </c>
      <c r="N100" s="13">
        <v>45908</v>
      </c>
      <c r="P100" s="15">
        <f t="shared" si="7"/>
        <v>45912</v>
      </c>
      <c r="Q100" s="14" t="s">
        <v>37</v>
      </c>
      <c r="R100" s="10" t="s">
        <v>37</v>
      </c>
      <c r="S100" s="10" t="s">
        <v>38</v>
      </c>
      <c r="T100" s="15"/>
      <c r="U100" s="10"/>
      <c r="V100" s="10"/>
      <c r="W100" s="10"/>
      <c r="X100" s="10"/>
      <c r="Y100" s="10"/>
      <c r="Z100" s="10"/>
      <c r="AA100" s="10"/>
      <c r="AB100" s="10"/>
      <c r="AC100" s="10"/>
      <c r="AD100" s="10"/>
      <c r="AE100" s="10"/>
      <c r="AF100" s="10"/>
      <c r="AG100" s="10"/>
      <c r="AH100" s="10"/>
    </row>
    <row r="101" ht="35.25" customHeight="1" spans="1:34">
      <c r="A101" s="33">
        <v>93</v>
      </c>
      <c r="B101" s="34">
        <f>VLOOKUP(C101,[1]Modelos!$B$2:$C$100,2,FALSE)</f>
        <v>0</v>
      </c>
      <c r="C101" s="35" t="s">
        <v>101</v>
      </c>
      <c r="D101" s="83" t="s">
        <v>43</v>
      </c>
      <c r="E101" s="37" t="s">
        <v>36</v>
      </c>
      <c r="F101" s="10"/>
      <c r="G101" s="38">
        <v>1500</v>
      </c>
      <c r="H101" s="38">
        <v>555</v>
      </c>
      <c r="I101" s="38">
        <f t="shared" si="4"/>
        <v>888</v>
      </c>
      <c r="J101" s="38">
        <f t="shared" si="5"/>
        <v>943.5</v>
      </c>
      <c r="K101" s="38">
        <v>880</v>
      </c>
      <c r="L101" s="38">
        <v>0</v>
      </c>
      <c r="M101" s="38">
        <f t="shared" si="6"/>
        <v>325</v>
      </c>
      <c r="N101" s="39">
        <v>45908</v>
      </c>
      <c r="O101" s="34"/>
      <c r="P101" s="39">
        <f t="shared" si="7"/>
        <v>45912</v>
      </c>
      <c r="Q101" s="40" t="s">
        <v>37</v>
      </c>
      <c r="R101" s="35" t="s">
        <v>37</v>
      </c>
      <c r="S101" s="35" t="s">
        <v>38</v>
      </c>
      <c r="T101" s="41"/>
      <c r="U101" s="34"/>
      <c r="V101" s="34"/>
      <c r="W101" s="34"/>
      <c r="X101" s="34"/>
      <c r="Y101" s="34"/>
      <c r="Z101" s="34"/>
      <c r="AA101" s="34"/>
      <c r="AB101" s="34"/>
      <c r="AC101" s="34"/>
      <c r="AD101" s="34"/>
      <c r="AE101" s="34"/>
      <c r="AF101" s="34"/>
      <c r="AG101" s="34"/>
      <c r="AH101" s="34"/>
    </row>
    <row r="102" ht="35.25" customHeight="1" spans="1:34">
      <c r="A102" s="9">
        <v>65</v>
      </c>
      <c r="B102" s="10">
        <f>VLOOKUP(C102,[1]Modelos!$B$2:$C$100,2,FALSE)</f>
        <v>0</v>
      </c>
      <c r="C102" s="10" t="s">
        <v>102</v>
      </c>
      <c r="D102" s="79" t="s">
        <v>52</v>
      </c>
      <c r="E102" s="10" t="s">
        <v>36</v>
      </c>
      <c r="F102" s="10"/>
      <c r="G102" s="12">
        <v>1800</v>
      </c>
      <c r="H102" s="12">
        <v>550</v>
      </c>
      <c r="I102" s="12">
        <f t="shared" si="4"/>
        <v>880</v>
      </c>
      <c r="J102" s="12">
        <f t="shared" si="5"/>
        <v>935</v>
      </c>
      <c r="K102" s="12">
        <v>890</v>
      </c>
      <c r="L102" s="12">
        <v>0</v>
      </c>
      <c r="M102" s="12">
        <f t="shared" si="6"/>
        <v>340</v>
      </c>
      <c r="N102" s="13">
        <v>45908</v>
      </c>
      <c r="P102" s="13">
        <f t="shared" si="7"/>
        <v>45912</v>
      </c>
      <c r="Q102" s="14" t="s">
        <v>37</v>
      </c>
      <c r="R102" s="10" t="s">
        <v>37</v>
      </c>
      <c r="S102" s="10" t="s">
        <v>38</v>
      </c>
      <c r="T102" s="15"/>
      <c r="U102" s="10"/>
      <c r="V102" s="10"/>
      <c r="W102" s="10"/>
      <c r="X102" s="10"/>
      <c r="Y102" s="10"/>
      <c r="Z102" s="10"/>
      <c r="AA102" s="10"/>
      <c r="AB102" s="10"/>
      <c r="AC102" s="10"/>
      <c r="AD102" s="10"/>
      <c r="AE102" s="10"/>
      <c r="AF102" s="10"/>
      <c r="AG102" s="10"/>
      <c r="AH102" s="10"/>
    </row>
    <row r="103" ht="35.25" customHeight="1" spans="1:34">
      <c r="A103" s="9">
        <v>65</v>
      </c>
      <c r="B103" s="10">
        <f>VLOOKUP(C103,[1]Modelos!$B$2:$C$100,2,FALSE)</f>
        <v>0</v>
      </c>
      <c r="C103" s="10" t="s">
        <v>102</v>
      </c>
      <c r="D103" s="79" t="s">
        <v>63</v>
      </c>
      <c r="E103" s="10" t="s">
        <v>36</v>
      </c>
      <c r="F103" s="10"/>
      <c r="G103" s="12">
        <v>1800</v>
      </c>
      <c r="H103" s="12">
        <v>550</v>
      </c>
      <c r="I103" s="12">
        <f t="shared" si="4"/>
        <v>880</v>
      </c>
      <c r="J103" s="12">
        <f t="shared" si="5"/>
        <v>935</v>
      </c>
      <c r="K103" s="12">
        <v>890</v>
      </c>
      <c r="L103" s="12">
        <v>0</v>
      </c>
      <c r="M103" s="12">
        <f t="shared" si="6"/>
        <v>340</v>
      </c>
      <c r="N103" s="13">
        <v>45908</v>
      </c>
      <c r="P103" s="13">
        <f t="shared" si="7"/>
        <v>45912</v>
      </c>
      <c r="Q103" s="14" t="s">
        <v>37</v>
      </c>
      <c r="R103" s="10" t="s">
        <v>37</v>
      </c>
      <c r="S103" s="10" t="s">
        <v>38</v>
      </c>
      <c r="T103" s="15"/>
      <c r="U103" s="10"/>
      <c r="V103" s="10"/>
      <c r="W103" s="10"/>
      <c r="X103" s="10"/>
      <c r="Y103" s="10"/>
      <c r="Z103" s="10"/>
      <c r="AA103" s="10"/>
      <c r="AB103" s="10"/>
      <c r="AC103" s="10"/>
      <c r="AD103" s="10"/>
      <c r="AE103" s="10"/>
      <c r="AF103" s="10"/>
      <c r="AG103" s="10"/>
      <c r="AH103" s="10"/>
    </row>
    <row r="104" ht="35.25" customHeight="1" spans="1:34">
      <c r="A104" s="10"/>
      <c r="B104" s="10">
        <f>VLOOKUP(C104,[1]Modelos!$B$2:$C$200,2,FALSE)</f>
        <v>0</v>
      </c>
      <c r="C104" s="10" t="s">
        <v>103</v>
      </c>
      <c r="D104" s="79" t="s">
        <v>63</v>
      </c>
      <c r="E104" s="10" t="s">
        <v>36</v>
      </c>
      <c r="F104" s="10"/>
      <c r="G104" s="12">
        <v>0</v>
      </c>
      <c r="H104" s="12">
        <v>0</v>
      </c>
      <c r="I104" s="12">
        <f t="shared" si="4"/>
        <v>0</v>
      </c>
      <c r="J104" s="12">
        <f t="shared" si="5"/>
        <v>0</v>
      </c>
      <c r="K104" s="12">
        <v>780</v>
      </c>
      <c r="L104" s="12">
        <v>0</v>
      </c>
      <c r="M104" s="12">
        <f t="shared" si="6"/>
        <v>780</v>
      </c>
      <c r="N104" s="13">
        <v>45947</v>
      </c>
      <c r="P104" s="13">
        <f t="shared" si="7"/>
        <v>45951</v>
      </c>
      <c r="Q104" s="14" t="s">
        <v>37</v>
      </c>
      <c r="R104" s="10" t="s">
        <v>37</v>
      </c>
      <c r="S104" s="10" t="s">
        <v>38</v>
      </c>
      <c r="T104" s="15"/>
      <c r="U104" s="10"/>
      <c r="V104" s="10"/>
      <c r="W104" s="10"/>
      <c r="X104" s="10"/>
      <c r="Y104" s="10"/>
      <c r="Z104" s="10"/>
      <c r="AA104" s="10"/>
      <c r="AB104" s="10"/>
      <c r="AC104" s="10"/>
      <c r="AD104" s="10"/>
      <c r="AE104" s="10"/>
      <c r="AF104" s="10"/>
      <c r="AG104" s="10"/>
      <c r="AH104" s="10"/>
    </row>
    <row r="105" ht="35.25" customHeight="1" spans="1:34">
      <c r="A105" s="10"/>
      <c r="B105" s="10">
        <f>VLOOKUP(C105,[1]Modelos!$B$2:$C$100,2,FALSE)</f>
        <v>0</v>
      </c>
      <c r="C105" s="10" t="s">
        <v>104</v>
      </c>
      <c r="D105" s="79" t="s">
        <v>56</v>
      </c>
      <c r="E105" s="10" t="s">
        <v>36</v>
      </c>
      <c r="F105" s="10"/>
      <c r="G105" s="12">
        <v>1300</v>
      </c>
      <c r="H105" s="12">
        <v>550</v>
      </c>
      <c r="I105" s="12">
        <f t="shared" si="4"/>
        <v>880</v>
      </c>
      <c r="J105" s="12">
        <f t="shared" si="5"/>
        <v>935</v>
      </c>
      <c r="K105" s="12">
        <v>890</v>
      </c>
      <c r="L105" s="12">
        <v>0</v>
      </c>
      <c r="M105" s="12">
        <f t="shared" si="6"/>
        <v>340</v>
      </c>
      <c r="N105" s="13">
        <v>45917</v>
      </c>
      <c r="P105" s="13">
        <f t="shared" si="7"/>
        <v>45921</v>
      </c>
      <c r="Q105" s="14" t="s">
        <v>37</v>
      </c>
      <c r="R105" s="10" t="s">
        <v>37</v>
      </c>
      <c r="S105" s="10" t="s">
        <v>38</v>
      </c>
      <c r="T105" s="15"/>
      <c r="U105" s="10"/>
      <c r="V105" s="10"/>
      <c r="W105" s="10"/>
      <c r="X105" s="10"/>
      <c r="Y105" s="10"/>
      <c r="Z105" s="10"/>
      <c r="AA105" s="10"/>
      <c r="AB105" s="10"/>
      <c r="AC105" s="10"/>
      <c r="AD105" s="10"/>
      <c r="AE105" s="10"/>
      <c r="AF105" s="10"/>
      <c r="AG105" s="10"/>
      <c r="AH105" s="10"/>
    </row>
    <row r="106" ht="35.25" customHeight="1" spans="1:34">
      <c r="A106" s="10"/>
      <c r="B106" s="10">
        <f>VLOOKUP(C106,[1]Modelos!$B$2:$C$100,2,FALSE)</f>
        <v>0</v>
      </c>
      <c r="C106" s="10" t="s">
        <v>105</v>
      </c>
      <c r="D106" s="79" t="s">
        <v>63</v>
      </c>
      <c r="E106" s="10" t="s">
        <v>36</v>
      </c>
      <c r="F106" s="10"/>
      <c r="G106" s="12">
        <v>2000</v>
      </c>
      <c r="H106" s="12">
        <v>600</v>
      </c>
      <c r="I106" s="12">
        <f t="shared" si="4"/>
        <v>960</v>
      </c>
      <c r="J106" s="12">
        <f t="shared" si="5"/>
        <v>1020</v>
      </c>
      <c r="K106" s="12">
        <v>900</v>
      </c>
      <c r="L106" s="12">
        <v>0</v>
      </c>
      <c r="M106" s="12">
        <f t="shared" si="6"/>
        <v>300</v>
      </c>
      <c r="N106" s="13">
        <v>45917</v>
      </c>
      <c r="P106" s="13">
        <f t="shared" si="7"/>
        <v>45921</v>
      </c>
      <c r="Q106" s="14" t="s">
        <v>37</v>
      </c>
      <c r="R106" s="10" t="s">
        <v>37</v>
      </c>
      <c r="S106" s="10" t="s">
        <v>38</v>
      </c>
      <c r="T106" s="15"/>
      <c r="U106" s="10"/>
      <c r="V106" s="10"/>
      <c r="W106" s="10"/>
      <c r="X106" s="10"/>
      <c r="Y106" s="10"/>
      <c r="Z106" s="10"/>
      <c r="AA106" s="10"/>
      <c r="AB106" s="10"/>
      <c r="AC106" s="10"/>
      <c r="AD106" s="10"/>
      <c r="AE106" s="10"/>
      <c r="AF106" s="10"/>
      <c r="AG106" s="10"/>
      <c r="AH106" s="10"/>
    </row>
    <row r="107" ht="35.25" customHeight="1" spans="1:34">
      <c r="A107" s="9">
        <v>87</v>
      </c>
      <c r="B107" s="10">
        <f>VLOOKUP(C107,[1]Modelos!$B$2:$C$100,2,FALSE)</f>
        <v>0</v>
      </c>
      <c r="C107" s="10" t="s">
        <v>106</v>
      </c>
      <c r="D107" s="79" t="s">
        <v>50</v>
      </c>
      <c r="E107" s="10" t="s">
        <v>36</v>
      </c>
      <c r="F107" s="10"/>
      <c r="G107" s="12">
        <v>1499.9</v>
      </c>
      <c r="H107" s="12">
        <v>499.47</v>
      </c>
      <c r="I107" s="12">
        <f t="shared" si="4"/>
        <v>799.152</v>
      </c>
      <c r="J107" s="12">
        <f t="shared" si="5"/>
        <v>849.099</v>
      </c>
      <c r="K107" s="12">
        <v>890</v>
      </c>
      <c r="L107" s="12">
        <v>0</v>
      </c>
      <c r="M107" s="12">
        <f t="shared" si="6"/>
        <v>390.53</v>
      </c>
      <c r="N107" s="13">
        <v>45908</v>
      </c>
      <c r="P107" s="15">
        <f t="shared" si="7"/>
        <v>45912</v>
      </c>
      <c r="Q107" s="14" t="s">
        <v>37</v>
      </c>
      <c r="R107" s="10" t="s">
        <v>37</v>
      </c>
      <c r="S107" s="10" t="s">
        <v>38</v>
      </c>
      <c r="T107" s="15"/>
      <c r="U107" s="10"/>
      <c r="V107" s="10"/>
      <c r="W107" s="10"/>
      <c r="X107" s="10"/>
      <c r="Y107" s="10"/>
      <c r="Z107" s="10"/>
      <c r="AA107" s="10"/>
      <c r="AB107" s="10"/>
      <c r="AC107" s="10"/>
      <c r="AD107" s="10"/>
      <c r="AE107" s="10"/>
      <c r="AF107" s="10"/>
      <c r="AG107" s="10"/>
      <c r="AH107" s="10"/>
    </row>
    <row r="108" ht="35.25" customHeight="1" spans="1:34">
      <c r="A108" s="9">
        <v>87</v>
      </c>
      <c r="B108" s="10">
        <f>VLOOKUP(C108,[1]Modelos!$B$2:$C$100,2,FALSE)</f>
        <v>0</v>
      </c>
      <c r="C108" s="10" t="s">
        <v>106</v>
      </c>
      <c r="D108" s="79" t="s">
        <v>35</v>
      </c>
      <c r="E108" s="10" t="s">
        <v>36</v>
      </c>
      <c r="F108" s="10"/>
      <c r="G108" s="12">
        <v>1499.9</v>
      </c>
      <c r="H108" s="12">
        <v>499.47</v>
      </c>
      <c r="I108" s="12">
        <f t="shared" si="4"/>
        <v>799.152</v>
      </c>
      <c r="J108" s="12">
        <f t="shared" si="5"/>
        <v>849.099</v>
      </c>
      <c r="K108" s="12">
        <v>890</v>
      </c>
      <c r="L108" s="12">
        <v>0</v>
      </c>
      <c r="M108" s="12">
        <f t="shared" si="6"/>
        <v>390.53</v>
      </c>
      <c r="N108" s="13">
        <v>45908</v>
      </c>
      <c r="P108" s="15">
        <f t="shared" si="7"/>
        <v>45912</v>
      </c>
      <c r="Q108" s="14" t="s">
        <v>37</v>
      </c>
      <c r="R108" s="10" t="s">
        <v>37</v>
      </c>
      <c r="S108" s="10" t="s">
        <v>38</v>
      </c>
      <c r="T108" s="15"/>
      <c r="U108" s="10"/>
      <c r="V108" s="10"/>
      <c r="W108" s="10"/>
      <c r="X108" s="10"/>
      <c r="Y108" s="10"/>
      <c r="Z108" s="10"/>
      <c r="AA108" s="10"/>
      <c r="AB108" s="10"/>
      <c r="AC108" s="10"/>
      <c r="AD108" s="10"/>
      <c r="AE108" s="10"/>
      <c r="AF108" s="10"/>
      <c r="AG108" s="10"/>
      <c r="AH108" s="10"/>
    </row>
    <row r="109" ht="35.25" customHeight="1" spans="1:34">
      <c r="A109" s="9">
        <v>87</v>
      </c>
      <c r="B109" s="10">
        <f>VLOOKUP(C109,[1]Modelos!$B$2:$C$100,2,FALSE)</f>
        <v>0</v>
      </c>
      <c r="C109" s="10" t="s">
        <v>106</v>
      </c>
      <c r="D109" s="79" t="s">
        <v>50</v>
      </c>
      <c r="E109" s="10" t="s">
        <v>36</v>
      </c>
      <c r="F109" s="10"/>
      <c r="G109" s="12">
        <v>1499.9</v>
      </c>
      <c r="H109" s="12">
        <v>499.47</v>
      </c>
      <c r="I109" s="12">
        <f t="shared" si="4"/>
        <v>799.152</v>
      </c>
      <c r="J109" s="12">
        <f t="shared" si="5"/>
        <v>849.099</v>
      </c>
      <c r="K109" s="12">
        <v>890</v>
      </c>
      <c r="L109" s="12">
        <v>0</v>
      </c>
      <c r="M109" s="12">
        <f t="shared" si="6"/>
        <v>390.53</v>
      </c>
      <c r="N109" s="13">
        <v>45908</v>
      </c>
      <c r="P109" s="15">
        <f t="shared" si="7"/>
        <v>45912</v>
      </c>
      <c r="Q109" s="14" t="s">
        <v>37</v>
      </c>
      <c r="R109" s="10" t="s">
        <v>37</v>
      </c>
      <c r="S109" s="10" t="s">
        <v>38</v>
      </c>
      <c r="T109" s="15"/>
      <c r="U109" s="10"/>
      <c r="V109" s="10"/>
      <c r="W109" s="10"/>
      <c r="X109" s="10"/>
      <c r="Y109" s="10"/>
      <c r="Z109" s="10"/>
      <c r="AA109" s="10"/>
      <c r="AB109" s="10"/>
      <c r="AC109" s="10"/>
      <c r="AD109" s="10"/>
      <c r="AE109" s="10"/>
      <c r="AF109" s="10"/>
      <c r="AG109" s="10"/>
      <c r="AH109" s="10"/>
    </row>
    <row r="110" ht="35.25" customHeight="1" spans="1:34">
      <c r="A110" s="9">
        <v>36</v>
      </c>
      <c r="B110" s="10">
        <f>VLOOKUP(C110,[1]Modelos!$B$2:$C$100,2,FALSE)</f>
        <v>0</v>
      </c>
      <c r="C110" s="10" t="s">
        <v>107</v>
      </c>
      <c r="D110" s="79" t="s">
        <v>35</v>
      </c>
      <c r="E110" s="10" t="s">
        <v>36</v>
      </c>
      <c r="F110" s="10"/>
      <c r="G110" s="12">
        <v>1500</v>
      </c>
      <c r="H110" s="12">
        <v>554.96</v>
      </c>
      <c r="I110" s="12">
        <f t="shared" si="4"/>
        <v>887.936</v>
      </c>
      <c r="J110" s="12">
        <f t="shared" si="5"/>
        <v>943.432</v>
      </c>
      <c r="K110" s="12">
        <v>890</v>
      </c>
      <c r="L110" s="12">
        <v>0</v>
      </c>
      <c r="M110" s="12">
        <f t="shared" si="6"/>
        <v>335.04</v>
      </c>
      <c r="N110" s="13">
        <v>45908</v>
      </c>
      <c r="P110" s="13">
        <f t="shared" si="7"/>
        <v>45912</v>
      </c>
      <c r="Q110" s="14" t="s">
        <v>37</v>
      </c>
      <c r="R110" s="10" t="s">
        <v>37</v>
      </c>
      <c r="S110" s="10" t="s">
        <v>38</v>
      </c>
      <c r="T110" s="15"/>
      <c r="U110" s="10"/>
      <c r="V110" s="10"/>
      <c r="W110" s="10"/>
      <c r="X110" s="10"/>
      <c r="Y110" s="10"/>
      <c r="Z110" s="10"/>
      <c r="AA110" s="10"/>
      <c r="AB110" s="10"/>
      <c r="AC110" s="10"/>
      <c r="AD110" s="10"/>
      <c r="AE110" s="10"/>
      <c r="AF110" s="10"/>
      <c r="AG110" s="10"/>
      <c r="AH110" s="10"/>
    </row>
    <row r="111" ht="35.25" customHeight="1" spans="1:34">
      <c r="A111" s="9">
        <v>88</v>
      </c>
      <c r="B111" s="10">
        <f>VLOOKUP(C111,[1]Modelos!$B$2:$C$100,2,FALSE)</f>
        <v>0</v>
      </c>
      <c r="C111" s="10" t="s">
        <v>108</v>
      </c>
      <c r="D111" s="79" t="s">
        <v>56</v>
      </c>
      <c r="E111" s="10" t="s">
        <v>36</v>
      </c>
      <c r="F111" s="10"/>
      <c r="G111" s="12">
        <v>0</v>
      </c>
      <c r="H111" s="12">
        <v>0</v>
      </c>
      <c r="I111" s="12">
        <f t="shared" si="4"/>
        <v>0</v>
      </c>
      <c r="J111" s="12">
        <f t="shared" si="5"/>
        <v>0</v>
      </c>
      <c r="K111" s="12">
        <v>830</v>
      </c>
      <c r="L111" s="12">
        <v>0</v>
      </c>
      <c r="M111" s="12">
        <f t="shared" si="6"/>
        <v>830</v>
      </c>
      <c r="N111" s="13">
        <v>45908</v>
      </c>
      <c r="P111" s="15">
        <f t="shared" si="7"/>
        <v>45912</v>
      </c>
      <c r="Q111" s="14" t="s">
        <v>37</v>
      </c>
      <c r="R111" s="10" t="s">
        <v>37</v>
      </c>
      <c r="S111" s="10" t="s">
        <v>38</v>
      </c>
      <c r="T111" s="15"/>
      <c r="U111" s="10"/>
      <c r="V111" s="10"/>
      <c r="W111" s="10"/>
      <c r="X111" s="10"/>
      <c r="Y111" s="10"/>
      <c r="Z111" s="10"/>
      <c r="AA111" s="10"/>
      <c r="AB111" s="10"/>
      <c r="AC111" s="10"/>
      <c r="AD111" s="10"/>
      <c r="AE111" s="10"/>
      <c r="AF111" s="10"/>
      <c r="AG111" s="10"/>
      <c r="AH111" s="10"/>
    </row>
    <row r="112" ht="35.25" customHeight="1" spans="1:34">
      <c r="A112" s="9">
        <v>40</v>
      </c>
      <c r="B112" s="10">
        <f>VLOOKUP(C112,[1]Modelos!$B$2:$C$100,2,FALSE)</f>
        <v>0</v>
      </c>
      <c r="C112" s="10" t="s">
        <v>109</v>
      </c>
      <c r="D112" s="79" t="s">
        <v>35</v>
      </c>
      <c r="E112" s="10" t="s">
        <v>36</v>
      </c>
      <c r="F112" s="10"/>
      <c r="G112" s="12">
        <v>1300</v>
      </c>
      <c r="H112" s="12">
        <v>576.48</v>
      </c>
      <c r="I112" s="12">
        <f t="shared" si="4"/>
        <v>922.368</v>
      </c>
      <c r="J112" s="12">
        <f t="shared" si="5"/>
        <v>980.016</v>
      </c>
      <c r="K112" s="12">
        <v>790</v>
      </c>
      <c r="L112" s="12">
        <v>0</v>
      </c>
      <c r="M112" s="12">
        <f t="shared" si="6"/>
        <v>213.52</v>
      </c>
      <c r="N112" s="13">
        <v>45908</v>
      </c>
      <c r="P112" s="13">
        <f t="shared" si="7"/>
        <v>45912</v>
      </c>
      <c r="Q112" s="14" t="s">
        <v>37</v>
      </c>
      <c r="R112" s="10" t="s">
        <v>37</v>
      </c>
      <c r="S112" s="10" t="s">
        <v>38</v>
      </c>
      <c r="T112" s="15"/>
      <c r="U112" s="10"/>
      <c r="V112" s="10"/>
      <c r="W112" s="10"/>
      <c r="X112" s="10"/>
      <c r="Y112" s="10"/>
      <c r="Z112" s="10"/>
      <c r="AA112" s="10"/>
      <c r="AB112" s="10"/>
      <c r="AC112" s="10"/>
      <c r="AD112" s="10"/>
      <c r="AE112" s="10"/>
      <c r="AF112" s="10"/>
      <c r="AG112" s="10"/>
      <c r="AH112" s="10"/>
    </row>
    <row r="113" ht="35.25" customHeight="1" spans="1:34">
      <c r="A113" s="9">
        <v>56</v>
      </c>
      <c r="B113" s="10">
        <f>VLOOKUP(C113,[1]Modelos!$B$2:$C$100,2,FALSE)</f>
        <v>0</v>
      </c>
      <c r="C113" s="10" t="s">
        <v>110</v>
      </c>
      <c r="D113" s="79" t="s">
        <v>52</v>
      </c>
      <c r="E113" s="10" t="s">
        <v>36</v>
      </c>
      <c r="F113" s="10"/>
      <c r="G113" s="12">
        <v>1400</v>
      </c>
      <c r="H113" s="12">
        <v>440</v>
      </c>
      <c r="I113" s="12">
        <f t="shared" si="4"/>
        <v>704</v>
      </c>
      <c r="J113" s="12">
        <f t="shared" si="5"/>
        <v>748</v>
      </c>
      <c r="K113" s="12">
        <v>780</v>
      </c>
      <c r="L113" s="12">
        <v>0</v>
      </c>
      <c r="M113" s="12">
        <f t="shared" si="6"/>
        <v>340</v>
      </c>
      <c r="N113" s="13">
        <v>45908</v>
      </c>
      <c r="P113" s="13">
        <f t="shared" si="7"/>
        <v>45912</v>
      </c>
      <c r="Q113" s="14" t="s">
        <v>37</v>
      </c>
      <c r="R113" s="10" t="s">
        <v>37</v>
      </c>
      <c r="S113" s="10" t="s">
        <v>38</v>
      </c>
      <c r="T113" s="15"/>
      <c r="U113" s="10"/>
      <c r="V113" s="10"/>
      <c r="W113" s="10"/>
      <c r="X113" s="10"/>
      <c r="Y113" s="10"/>
      <c r="Z113" s="10"/>
      <c r="AA113" s="10"/>
      <c r="AB113" s="10"/>
      <c r="AC113" s="10"/>
      <c r="AD113" s="10"/>
      <c r="AE113" s="10"/>
      <c r="AF113" s="10"/>
      <c r="AG113" s="10"/>
      <c r="AH113" s="10"/>
    </row>
    <row r="114" ht="35.25" customHeight="1" spans="1:34">
      <c r="A114" s="42">
        <v>56</v>
      </c>
      <c r="B114" s="10">
        <f>VLOOKUP(C114,[1]Modelos!$B$2:$C$100,2,FALSE)</f>
        <v>0</v>
      </c>
      <c r="C114" s="43" t="s">
        <v>110</v>
      </c>
      <c r="D114" s="84" t="s">
        <v>50</v>
      </c>
      <c r="E114" s="37" t="s">
        <v>36</v>
      </c>
      <c r="F114" s="10"/>
      <c r="G114" s="12">
        <v>1400</v>
      </c>
      <c r="H114" s="12">
        <v>440</v>
      </c>
      <c r="I114" s="45">
        <f t="shared" si="4"/>
        <v>704</v>
      </c>
      <c r="J114" s="45">
        <f t="shared" si="5"/>
        <v>748</v>
      </c>
      <c r="K114" s="46">
        <v>780</v>
      </c>
      <c r="L114" s="45">
        <v>0</v>
      </c>
      <c r="M114" s="45">
        <f t="shared" si="6"/>
        <v>340</v>
      </c>
      <c r="N114" s="47">
        <v>45908</v>
      </c>
      <c r="O114" s="48"/>
      <c r="P114" s="49">
        <f t="shared" si="7"/>
        <v>45912</v>
      </c>
      <c r="Q114" s="50" t="s">
        <v>37</v>
      </c>
      <c r="R114" s="43" t="s">
        <v>37</v>
      </c>
      <c r="S114" s="43" t="s">
        <v>38</v>
      </c>
      <c r="T114" s="15"/>
      <c r="U114" s="10"/>
      <c r="V114" s="10"/>
      <c r="W114" s="10"/>
      <c r="X114" s="10"/>
      <c r="Y114" s="10"/>
      <c r="Z114" s="10"/>
      <c r="AA114" s="10"/>
      <c r="AB114" s="10"/>
      <c r="AC114" s="10"/>
      <c r="AD114" s="10"/>
      <c r="AE114" s="10"/>
      <c r="AF114" s="10"/>
      <c r="AG114" s="10"/>
      <c r="AH114" s="10"/>
    </row>
    <row r="115" ht="35.25" customHeight="1" spans="1:34">
      <c r="A115" s="42">
        <v>56</v>
      </c>
      <c r="B115" s="10">
        <f>VLOOKUP(C115,[1]Modelos!$B$2:$C$100,2,FALSE)</f>
        <v>0</v>
      </c>
      <c r="C115" s="43" t="s">
        <v>110</v>
      </c>
      <c r="D115" s="84" t="s">
        <v>50</v>
      </c>
      <c r="E115" s="37" t="s">
        <v>36</v>
      </c>
      <c r="F115" s="10"/>
      <c r="G115" s="12">
        <v>1400</v>
      </c>
      <c r="H115" s="12">
        <v>440</v>
      </c>
      <c r="I115" s="45">
        <f t="shared" si="4"/>
        <v>704</v>
      </c>
      <c r="J115" s="45">
        <f t="shared" si="5"/>
        <v>748</v>
      </c>
      <c r="K115" s="46">
        <v>780</v>
      </c>
      <c r="L115" s="45">
        <v>0</v>
      </c>
      <c r="M115" s="45">
        <f t="shared" si="6"/>
        <v>340</v>
      </c>
      <c r="N115" s="47">
        <v>45908</v>
      </c>
      <c r="O115" s="48"/>
      <c r="P115" s="49">
        <f t="shared" si="7"/>
        <v>45912</v>
      </c>
      <c r="Q115" s="50" t="s">
        <v>37</v>
      </c>
      <c r="R115" s="43" t="s">
        <v>37</v>
      </c>
      <c r="S115" s="43" t="s">
        <v>38</v>
      </c>
      <c r="T115" s="15"/>
      <c r="U115" s="10"/>
      <c r="V115" s="10"/>
      <c r="W115" s="10"/>
      <c r="X115" s="10"/>
      <c r="Y115" s="10"/>
      <c r="Z115" s="10"/>
      <c r="AA115" s="10"/>
      <c r="AB115" s="10"/>
      <c r="AC115" s="10"/>
      <c r="AD115" s="10"/>
      <c r="AE115" s="10"/>
      <c r="AF115" s="10"/>
      <c r="AG115" s="10"/>
      <c r="AH115" s="10"/>
    </row>
    <row r="116" ht="35.25" customHeight="1" spans="1:34">
      <c r="A116" s="9">
        <v>7</v>
      </c>
      <c r="B116" s="10">
        <f>VLOOKUP(C116,[1]Modelos!$B$2:$C$100,2,FALSE)</f>
        <v>0</v>
      </c>
      <c r="C116" s="10" t="s">
        <v>111</v>
      </c>
      <c r="D116" s="79" t="s">
        <v>41</v>
      </c>
      <c r="E116" s="10" t="s">
        <v>36</v>
      </c>
      <c r="F116" s="10"/>
      <c r="G116" s="12"/>
      <c r="H116" s="12"/>
      <c r="I116" s="12">
        <f t="shared" si="4"/>
        <v>0</v>
      </c>
      <c r="J116" s="12">
        <f t="shared" si="5"/>
        <v>0</v>
      </c>
      <c r="K116" s="12">
        <v>750</v>
      </c>
      <c r="L116" s="12">
        <v>0</v>
      </c>
      <c r="M116" s="12">
        <f t="shared" si="6"/>
        <v>750</v>
      </c>
      <c r="N116" s="13">
        <v>45908</v>
      </c>
      <c r="P116" s="13">
        <f t="shared" si="7"/>
        <v>45912</v>
      </c>
      <c r="Q116" s="14" t="s">
        <v>37</v>
      </c>
      <c r="R116" s="10" t="s">
        <v>37</v>
      </c>
      <c r="S116" s="10" t="s">
        <v>38</v>
      </c>
      <c r="T116" s="15"/>
      <c r="U116" s="10"/>
      <c r="V116" s="10"/>
      <c r="W116" s="10"/>
      <c r="X116" s="10"/>
      <c r="Y116" s="10"/>
      <c r="Z116" s="10"/>
      <c r="AA116" s="10"/>
      <c r="AB116" s="10"/>
      <c r="AC116" s="10"/>
      <c r="AD116" s="10"/>
      <c r="AE116" s="10"/>
      <c r="AF116" s="10"/>
      <c r="AG116" s="10"/>
      <c r="AH116" s="10"/>
    </row>
    <row r="117" ht="35.25" customHeight="1" spans="1:34">
      <c r="A117" s="10"/>
      <c r="B117" s="10">
        <f>VLOOKUP(C117,[1]Modelos!$B$2:$C$200,2,FALSE)</f>
        <v>0</v>
      </c>
      <c r="C117" s="10" t="s">
        <v>112</v>
      </c>
      <c r="D117" s="79" t="s">
        <v>35</v>
      </c>
      <c r="E117" s="10" t="s">
        <v>36</v>
      </c>
      <c r="F117" s="10"/>
      <c r="G117" s="12">
        <v>1099.9</v>
      </c>
      <c r="H117" s="12">
        <v>500</v>
      </c>
      <c r="I117" s="12">
        <f t="shared" si="4"/>
        <v>800</v>
      </c>
      <c r="J117" s="12">
        <f t="shared" si="5"/>
        <v>850</v>
      </c>
      <c r="K117" s="12">
        <v>850</v>
      </c>
      <c r="L117" s="12">
        <v>0</v>
      </c>
      <c r="M117" s="12">
        <f t="shared" si="6"/>
        <v>350</v>
      </c>
      <c r="N117" s="13">
        <v>45947</v>
      </c>
      <c r="P117" s="13">
        <f t="shared" si="7"/>
        <v>45951</v>
      </c>
      <c r="Q117" s="14" t="s">
        <v>37</v>
      </c>
      <c r="R117" s="10" t="s">
        <v>37</v>
      </c>
      <c r="S117" s="10"/>
      <c r="T117" s="15"/>
      <c r="U117" s="10"/>
      <c r="V117" s="10"/>
      <c r="W117" s="10"/>
      <c r="X117" s="10"/>
      <c r="Y117" s="10"/>
      <c r="Z117" s="10"/>
      <c r="AA117" s="10"/>
      <c r="AB117" s="10"/>
      <c r="AC117" s="10"/>
      <c r="AD117" s="10"/>
      <c r="AE117" s="10"/>
      <c r="AF117" s="10"/>
      <c r="AG117" s="10"/>
      <c r="AH117" s="10"/>
    </row>
    <row r="118" ht="35.25" customHeight="1" spans="1:34">
      <c r="A118" s="10"/>
      <c r="B118" s="10">
        <f>VLOOKUP(C118,[1]Modelos!$B$2:$C$100,2,FALSE)</f>
        <v>0</v>
      </c>
      <c r="C118" s="10" t="s">
        <v>113</v>
      </c>
      <c r="D118" s="79" t="s">
        <v>35</v>
      </c>
      <c r="E118" s="10" t="s">
        <v>36</v>
      </c>
      <c r="F118" s="10"/>
      <c r="G118" s="12">
        <v>1000</v>
      </c>
      <c r="H118" s="12">
        <v>333</v>
      </c>
      <c r="I118" s="12">
        <f t="shared" si="4"/>
        <v>532.8</v>
      </c>
      <c r="J118" s="12">
        <f t="shared" si="5"/>
        <v>566.1</v>
      </c>
      <c r="K118" s="12">
        <v>650</v>
      </c>
      <c r="L118" s="12">
        <v>0</v>
      </c>
      <c r="M118" s="12">
        <f t="shared" si="6"/>
        <v>317</v>
      </c>
      <c r="N118" s="13">
        <v>45917</v>
      </c>
      <c r="P118" s="13">
        <f t="shared" si="7"/>
        <v>45921</v>
      </c>
      <c r="Q118" s="14" t="s">
        <v>37</v>
      </c>
      <c r="R118" s="10" t="s">
        <v>37</v>
      </c>
      <c r="S118" s="10" t="s">
        <v>38</v>
      </c>
      <c r="T118" s="15"/>
      <c r="U118" s="10"/>
      <c r="V118" s="10"/>
      <c r="W118" s="10"/>
      <c r="X118" s="10"/>
      <c r="Y118" s="10"/>
      <c r="Z118" s="10"/>
      <c r="AA118" s="10"/>
      <c r="AB118" s="10"/>
      <c r="AC118" s="10"/>
      <c r="AD118" s="10"/>
      <c r="AE118" s="10"/>
      <c r="AF118" s="10"/>
      <c r="AG118" s="10"/>
      <c r="AH118" s="10"/>
    </row>
    <row r="119" ht="35.25" customHeight="1" spans="1:34">
      <c r="A119" s="10"/>
      <c r="B119" s="10">
        <f>VLOOKUP(C119,[1]Modelos!$B$2:$C$100,2,FALSE)</f>
        <v>0</v>
      </c>
      <c r="C119" s="10" t="s">
        <v>113</v>
      </c>
      <c r="D119" s="79" t="s">
        <v>52</v>
      </c>
      <c r="E119" s="10" t="s">
        <v>36</v>
      </c>
      <c r="F119" s="10"/>
      <c r="G119" s="12">
        <v>1000</v>
      </c>
      <c r="H119" s="12">
        <v>333</v>
      </c>
      <c r="I119" s="12">
        <f t="shared" si="4"/>
        <v>532.8</v>
      </c>
      <c r="J119" s="12">
        <f t="shared" si="5"/>
        <v>566.1</v>
      </c>
      <c r="K119" s="12">
        <v>650</v>
      </c>
      <c r="L119" s="12">
        <v>0</v>
      </c>
      <c r="M119" s="12">
        <f t="shared" si="6"/>
        <v>317</v>
      </c>
      <c r="N119" s="13">
        <v>45917</v>
      </c>
      <c r="P119" s="13">
        <f t="shared" si="7"/>
        <v>45921</v>
      </c>
      <c r="Q119" s="14" t="s">
        <v>37</v>
      </c>
      <c r="R119" s="10" t="s">
        <v>37</v>
      </c>
      <c r="S119" s="10" t="s">
        <v>38</v>
      </c>
      <c r="T119" s="15"/>
      <c r="U119" s="10"/>
      <c r="V119" s="10"/>
      <c r="W119" s="10"/>
      <c r="X119" s="10"/>
      <c r="Y119" s="10"/>
      <c r="Z119" s="10"/>
      <c r="AA119" s="10"/>
      <c r="AB119" s="10"/>
      <c r="AC119" s="10"/>
      <c r="AD119" s="10"/>
      <c r="AE119" s="10"/>
      <c r="AF119" s="10"/>
      <c r="AG119" s="10"/>
      <c r="AH119" s="10"/>
    </row>
    <row r="120" ht="35.25" customHeight="1" spans="1:34">
      <c r="A120" s="10"/>
      <c r="B120" s="10">
        <f>VLOOKUP(C120,[1]Modelos!$B$2:$C$100,2,FALSE)</f>
        <v>0</v>
      </c>
      <c r="C120" s="10" t="s">
        <v>113</v>
      </c>
      <c r="D120" s="79" t="s">
        <v>52</v>
      </c>
      <c r="E120" s="10" t="s">
        <v>36</v>
      </c>
      <c r="F120" s="10"/>
      <c r="G120" s="12">
        <v>1000</v>
      </c>
      <c r="H120" s="12">
        <v>333</v>
      </c>
      <c r="I120" s="12">
        <f t="shared" si="4"/>
        <v>532.8</v>
      </c>
      <c r="J120" s="12">
        <f t="shared" si="5"/>
        <v>566.1</v>
      </c>
      <c r="K120" s="12">
        <v>650</v>
      </c>
      <c r="L120" s="12">
        <v>0</v>
      </c>
      <c r="M120" s="12">
        <f t="shared" si="6"/>
        <v>317</v>
      </c>
      <c r="N120" s="13">
        <v>45917</v>
      </c>
      <c r="P120" s="13">
        <f t="shared" si="7"/>
        <v>45921</v>
      </c>
      <c r="Q120" s="14" t="s">
        <v>37</v>
      </c>
      <c r="R120" s="10" t="s">
        <v>37</v>
      </c>
      <c r="S120" s="10" t="s">
        <v>38</v>
      </c>
      <c r="T120" s="15"/>
      <c r="U120" s="10"/>
      <c r="V120" s="10"/>
      <c r="W120" s="10"/>
      <c r="X120" s="10"/>
      <c r="Y120" s="10"/>
      <c r="Z120" s="10"/>
      <c r="AA120" s="10"/>
      <c r="AB120" s="10"/>
      <c r="AC120" s="10"/>
      <c r="AD120" s="10"/>
      <c r="AE120" s="10"/>
      <c r="AF120" s="10"/>
      <c r="AG120" s="10"/>
      <c r="AH120" s="10"/>
    </row>
    <row r="121" ht="35.25" customHeight="1" spans="1:34">
      <c r="A121" s="9">
        <v>98</v>
      </c>
      <c r="B121" s="10">
        <f>VLOOKUP(C121,[1]Modelos!$B$2:$C$100,2,FALSE)</f>
        <v>0</v>
      </c>
      <c r="C121" s="10" t="s">
        <v>114</v>
      </c>
      <c r="D121" s="79" t="s">
        <v>43</v>
      </c>
      <c r="E121" s="10" t="s">
        <v>36</v>
      </c>
      <c r="F121" s="10"/>
      <c r="G121" s="12">
        <v>1400</v>
      </c>
      <c r="H121" s="12">
        <v>550</v>
      </c>
      <c r="I121" s="12">
        <f t="shared" si="4"/>
        <v>880</v>
      </c>
      <c r="J121" s="12">
        <f t="shared" si="5"/>
        <v>935</v>
      </c>
      <c r="K121" s="12">
        <v>890</v>
      </c>
      <c r="L121" s="12">
        <v>0</v>
      </c>
      <c r="M121" s="12">
        <f t="shared" si="6"/>
        <v>340</v>
      </c>
      <c r="N121" s="13">
        <v>45908</v>
      </c>
      <c r="P121" s="13">
        <f t="shared" si="7"/>
        <v>45912</v>
      </c>
      <c r="Q121" s="14" t="s">
        <v>37</v>
      </c>
      <c r="R121" s="10" t="s">
        <v>37</v>
      </c>
      <c r="S121" s="10" t="s">
        <v>38</v>
      </c>
      <c r="T121" s="15"/>
      <c r="U121" s="10"/>
      <c r="V121" s="10"/>
      <c r="W121" s="10"/>
      <c r="X121" s="10"/>
      <c r="Y121" s="10"/>
      <c r="Z121" s="10"/>
      <c r="AA121" s="10"/>
      <c r="AB121" s="10"/>
      <c r="AC121" s="10"/>
      <c r="AD121" s="10"/>
      <c r="AE121" s="10"/>
      <c r="AF121" s="10"/>
      <c r="AG121" s="10"/>
      <c r="AH121" s="10"/>
    </row>
    <row r="122" ht="35.25" customHeight="1" spans="1:34">
      <c r="A122" s="10"/>
      <c r="B122" s="10">
        <f>VLOOKUP(C122,[1]Modelos!$B$2:$C$200,2,FALSE)</f>
        <v>0</v>
      </c>
      <c r="C122" s="10" t="s">
        <v>115</v>
      </c>
      <c r="D122" s="79" t="s">
        <v>43</v>
      </c>
      <c r="E122" s="10" t="s">
        <v>36</v>
      </c>
      <c r="F122" s="10"/>
      <c r="G122" s="12">
        <v>0</v>
      </c>
      <c r="H122" s="12">
        <v>0</v>
      </c>
      <c r="I122" s="12">
        <f t="shared" si="4"/>
        <v>0</v>
      </c>
      <c r="J122" s="12">
        <f t="shared" si="5"/>
        <v>0</v>
      </c>
      <c r="K122" s="12">
        <v>880</v>
      </c>
      <c r="L122" s="12">
        <v>0</v>
      </c>
      <c r="M122" s="12">
        <f t="shared" si="6"/>
        <v>880</v>
      </c>
      <c r="N122" s="13">
        <v>45947</v>
      </c>
      <c r="P122" s="13">
        <f t="shared" si="7"/>
        <v>45951</v>
      </c>
      <c r="Q122" s="14" t="s">
        <v>37</v>
      </c>
      <c r="R122" s="10" t="s">
        <v>37</v>
      </c>
      <c r="S122" s="10" t="s">
        <v>38</v>
      </c>
      <c r="T122" s="15"/>
      <c r="U122" s="10"/>
      <c r="V122" s="10"/>
      <c r="W122" s="10"/>
      <c r="X122" s="10"/>
      <c r="Y122" s="10"/>
      <c r="Z122" s="10"/>
      <c r="AA122" s="10"/>
      <c r="AB122" s="10"/>
      <c r="AC122" s="10"/>
      <c r="AD122" s="10"/>
      <c r="AE122" s="10"/>
      <c r="AF122" s="10"/>
      <c r="AG122" s="10"/>
      <c r="AH122" s="10"/>
    </row>
    <row r="123" ht="35.25" customHeight="1" spans="1:34">
      <c r="A123" s="10"/>
      <c r="B123" s="10">
        <f>VLOOKUP(C123,[1]Modelos!$B$2:$C$100,2,FALSE)</f>
        <v>0</v>
      </c>
      <c r="C123" s="10" t="s">
        <v>116</v>
      </c>
      <c r="D123" s="79" t="s">
        <v>52</v>
      </c>
      <c r="E123" s="10" t="s">
        <v>36</v>
      </c>
      <c r="F123" s="10"/>
      <c r="G123" s="12">
        <v>1499.9</v>
      </c>
      <c r="H123" s="12">
        <v>498.91</v>
      </c>
      <c r="I123" s="12">
        <f t="shared" si="4"/>
        <v>798.256</v>
      </c>
      <c r="J123" s="12">
        <f t="shared" si="5"/>
        <v>848.147</v>
      </c>
      <c r="K123" s="12">
        <v>890</v>
      </c>
      <c r="L123" s="12">
        <v>0</v>
      </c>
      <c r="M123" s="12">
        <f t="shared" si="6"/>
        <v>391.09</v>
      </c>
      <c r="N123" s="13">
        <v>45917</v>
      </c>
      <c r="P123" s="13">
        <f t="shared" si="7"/>
        <v>45921</v>
      </c>
      <c r="Q123" s="14" t="s">
        <v>37</v>
      </c>
      <c r="R123" s="10" t="s">
        <v>37</v>
      </c>
      <c r="S123" s="10" t="s">
        <v>38</v>
      </c>
      <c r="T123" s="15"/>
      <c r="U123" s="10"/>
      <c r="V123" s="10"/>
      <c r="W123" s="10"/>
      <c r="X123" s="10"/>
      <c r="Y123" s="10"/>
      <c r="Z123" s="10"/>
      <c r="AA123" s="10"/>
      <c r="AB123" s="10"/>
      <c r="AC123" s="10"/>
      <c r="AD123" s="10"/>
      <c r="AE123" s="10"/>
      <c r="AF123" s="10"/>
      <c r="AG123" s="10"/>
      <c r="AH123" s="10"/>
    </row>
    <row r="124" ht="35.25" customHeight="1" spans="1:34">
      <c r="A124" s="10"/>
      <c r="B124" s="10">
        <f>VLOOKUP(C124,[1]Modelos!$B$2:$C$200,2,FALSE)</f>
        <v>0</v>
      </c>
      <c r="C124" s="10" t="s">
        <v>117</v>
      </c>
      <c r="D124" s="79" t="s">
        <v>35</v>
      </c>
      <c r="E124" s="10" t="s">
        <v>36</v>
      </c>
      <c r="F124" s="10"/>
      <c r="G124" s="12">
        <v>0</v>
      </c>
      <c r="H124" s="12">
        <v>0</v>
      </c>
      <c r="I124" s="12">
        <f t="shared" si="4"/>
        <v>0</v>
      </c>
      <c r="J124" s="12">
        <f t="shared" si="5"/>
        <v>0</v>
      </c>
      <c r="K124" s="12">
        <v>790</v>
      </c>
      <c r="L124" s="12">
        <v>0</v>
      </c>
      <c r="M124" s="12">
        <f t="shared" si="6"/>
        <v>790</v>
      </c>
      <c r="N124" s="13">
        <v>45947</v>
      </c>
      <c r="P124" s="13">
        <f t="shared" si="7"/>
        <v>45951</v>
      </c>
      <c r="Q124" s="14" t="s">
        <v>37</v>
      </c>
      <c r="R124" s="10" t="s">
        <v>37</v>
      </c>
      <c r="S124" s="10" t="s">
        <v>38</v>
      </c>
      <c r="T124" s="15"/>
      <c r="U124" s="10"/>
      <c r="V124" s="10"/>
      <c r="W124" s="10"/>
      <c r="X124" s="10"/>
      <c r="Y124" s="10"/>
      <c r="Z124" s="10"/>
      <c r="AA124" s="10"/>
      <c r="AB124" s="10"/>
      <c r="AC124" s="10"/>
      <c r="AD124" s="10"/>
      <c r="AE124" s="10"/>
      <c r="AF124" s="10"/>
      <c r="AG124" s="10"/>
      <c r="AH124" s="10"/>
    </row>
    <row r="125" ht="35.25" customHeight="1" spans="1:34">
      <c r="A125" s="10"/>
      <c r="B125" s="10">
        <f>VLOOKUP(C125,[1]Modelos!$B$2:$C$200,2,FALSE)</f>
        <v>0</v>
      </c>
      <c r="C125" s="10" t="s">
        <v>118</v>
      </c>
      <c r="D125" s="79" t="s">
        <v>35</v>
      </c>
      <c r="E125" s="10" t="s">
        <v>36</v>
      </c>
      <c r="F125" s="10"/>
      <c r="G125" s="12">
        <v>1100</v>
      </c>
      <c r="H125" s="12">
        <v>550</v>
      </c>
      <c r="I125" s="12">
        <f t="shared" si="4"/>
        <v>880</v>
      </c>
      <c r="J125" s="12">
        <f t="shared" si="5"/>
        <v>935</v>
      </c>
      <c r="K125" s="12">
        <v>850</v>
      </c>
      <c r="L125" s="12">
        <v>0</v>
      </c>
      <c r="M125" s="12">
        <f t="shared" si="6"/>
        <v>300</v>
      </c>
      <c r="N125" s="13">
        <v>46023</v>
      </c>
      <c r="P125" s="13">
        <f t="shared" si="7"/>
        <v>46027</v>
      </c>
      <c r="Q125" s="14" t="s">
        <v>37</v>
      </c>
      <c r="R125" s="10" t="s">
        <v>37</v>
      </c>
      <c r="S125" s="10" t="s">
        <v>38</v>
      </c>
      <c r="T125" s="15"/>
      <c r="U125" s="10"/>
      <c r="V125" s="10"/>
      <c r="W125" s="10"/>
      <c r="X125" s="10"/>
      <c r="Y125" s="10"/>
      <c r="Z125" s="10"/>
      <c r="AA125" s="10"/>
      <c r="AB125" s="10"/>
      <c r="AC125" s="10"/>
      <c r="AD125" s="10"/>
      <c r="AE125" s="10"/>
      <c r="AF125" s="10"/>
      <c r="AG125" s="10"/>
      <c r="AH125" s="10"/>
    </row>
    <row r="126" ht="35.25" hidden="1" customHeight="1" spans="1:34">
      <c r="A126" s="10"/>
      <c r="B126" s="10">
        <f>VLOOKUP(C126,[1]Modelos!$B$2:$C$200,2,FALSE)</f>
        <v>0</v>
      </c>
      <c r="C126" s="10" t="s">
        <v>119</v>
      </c>
      <c r="D126" s="80" t="s">
        <v>45</v>
      </c>
      <c r="E126" s="10" t="s">
        <v>36</v>
      </c>
      <c r="F126" s="10"/>
      <c r="G126" s="12">
        <v>0</v>
      </c>
      <c r="H126" s="12">
        <v>0</v>
      </c>
      <c r="I126" s="12">
        <f t="shared" si="4"/>
        <v>0</v>
      </c>
      <c r="J126" s="12">
        <f t="shared" si="5"/>
        <v>0</v>
      </c>
      <c r="K126" s="12">
        <v>790</v>
      </c>
      <c r="L126" s="12">
        <v>0</v>
      </c>
      <c r="M126" s="12">
        <f t="shared" si="6"/>
        <v>790</v>
      </c>
      <c r="N126" s="13">
        <v>45947</v>
      </c>
      <c r="P126" s="13">
        <f t="shared" si="7"/>
        <v>45951</v>
      </c>
      <c r="Q126" s="14" t="s">
        <v>37</v>
      </c>
      <c r="R126" s="10" t="s">
        <v>37</v>
      </c>
      <c r="S126" s="10" t="s">
        <v>38</v>
      </c>
      <c r="T126" s="15"/>
      <c r="U126" s="10"/>
      <c r="V126" s="10"/>
      <c r="W126" s="10"/>
      <c r="X126" s="10"/>
      <c r="Y126" s="10"/>
      <c r="Z126" s="10"/>
      <c r="AA126" s="10"/>
      <c r="AB126" s="10"/>
      <c r="AC126" s="10"/>
      <c r="AD126" s="10"/>
      <c r="AE126" s="10"/>
      <c r="AF126" s="10"/>
      <c r="AG126" s="10"/>
      <c r="AH126" s="10"/>
    </row>
    <row r="127" ht="35.25" customHeight="1" spans="1:34">
      <c r="A127" s="10"/>
      <c r="B127" s="10">
        <f>VLOOKUP(C127,[1]Modelos!$B$2:$C$200,2,FALSE)</f>
        <v>0</v>
      </c>
      <c r="C127" s="10" t="s">
        <v>120</v>
      </c>
      <c r="D127" s="79" t="s">
        <v>50</v>
      </c>
      <c r="E127" s="10" t="s">
        <v>36</v>
      </c>
      <c r="F127" s="10"/>
      <c r="G127" s="12">
        <v>0</v>
      </c>
      <c r="H127" s="12">
        <v>0</v>
      </c>
      <c r="I127" s="12">
        <f t="shared" si="4"/>
        <v>0</v>
      </c>
      <c r="J127" s="12">
        <f t="shared" si="5"/>
        <v>0</v>
      </c>
      <c r="K127" s="12">
        <v>780</v>
      </c>
      <c r="L127" s="12">
        <v>0</v>
      </c>
      <c r="M127" s="12">
        <f t="shared" si="6"/>
        <v>780</v>
      </c>
      <c r="N127" s="13">
        <v>46023</v>
      </c>
      <c r="P127" s="13" t="e">
        <f>#REF!+4</f>
        <v>#REF!</v>
      </c>
      <c r="Q127" s="14" t="s">
        <v>37</v>
      </c>
      <c r="R127" s="10" t="s">
        <v>37</v>
      </c>
      <c r="S127" s="10" t="s">
        <v>38</v>
      </c>
      <c r="T127" s="15"/>
      <c r="U127" s="10"/>
      <c r="V127" s="10"/>
      <c r="W127" s="10"/>
      <c r="X127" s="10"/>
      <c r="Y127" s="10"/>
      <c r="Z127" s="10"/>
      <c r="AA127" s="10"/>
      <c r="AB127" s="10"/>
      <c r="AC127" s="10"/>
      <c r="AD127" s="10"/>
      <c r="AE127" s="10"/>
      <c r="AF127" s="10"/>
      <c r="AG127" s="10"/>
      <c r="AH127" s="10"/>
    </row>
    <row r="128" ht="35.25" customHeight="1" spans="1:34">
      <c r="A128" s="10"/>
      <c r="B128" s="10">
        <f>VLOOKUP(C128,[1]Modelos!$B$2:$C$100,2,FALSE)</f>
        <v>0</v>
      </c>
      <c r="C128" s="10" t="s">
        <v>121</v>
      </c>
      <c r="D128" s="79" t="s">
        <v>43</v>
      </c>
      <c r="E128" s="10" t="s">
        <v>36</v>
      </c>
      <c r="F128" s="10"/>
      <c r="G128" s="12">
        <v>1600</v>
      </c>
      <c r="H128" s="12">
        <v>550</v>
      </c>
      <c r="I128" s="12">
        <f t="shared" si="4"/>
        <v>880</v>
      </c>
      <c r="J128" s="12">
        <f t="shared" si="5"/>
        <v>935</v>
      </c>
      <c r="K128" s="12">
        <v>890</v>
      </c>
      <c r="L128" s="12">
        <v>0</v>
      </c>
      <c r="M128" s="12">
        <f t="shared" si="6"/>
        <v>340</v>
      </c>
      <c r="N128" s="13">
        <v>45917</v>
      </c>
      <c r="P128" s="13">
        <f t="shared" ref="P128:P158" si="8">N128+4</f>
        <v>45921</v>
      </c>
      <c r="Q128" s="14" t="s">
        <v>37</v>
      </c>
      <c r="R128" s="10" t="s">
        <v>37</v>
      </c>
      <c r="S128" s="10" t="s">
        <v>38</v>
      </c>
      <c r="T128" s="15"/>
      <c r="U128" s="10"/>
      <c r="V128" s="10"/>
      <c r="W128" s="10"/>
      <c r="X128" s="10"/>
      <c r="Y128" s="10"/>
      <c r="Z128" s="10"/>
      <c r="AA128" s="10"/>
      <c r="AB128" s="10"/>
      <c r="AC128" s="10"/>
      <c r="AD128" s="10"/>
      <c r="AE128" s="10"/>
      <c r="AF128" s="10"/>
      <c r="AG128" s="10"/>
      <c r="AH128" s="10"/>
    </row>
    <row r="129" ht="35.25" customHeight="1" spans="1:34">
      <c r="A129" s="9">
        <v>69</v>
      </c>
      <c r="B129" s="10">
        <f>VLOOKUP(C129,[1]Modelos!$B$2:$C$100,2,FALSE)</f>
        <v>0</v>
      </c>
      <c r="C129" s="10" t="s">
        <v>122</v>
      </c>
      <c r="D129" s="79" t="s">
        <v>43</v>
      </c>
      <c r="E129" s="10" t="s">
        <v>36</v>
      </c>
      <c r="F129" s="10"/>
      <c r="G129" s="12">
        <v>1200</v>
      </c>
      <c r="H129" s="12">
        <v>420</v>
      </c>
      <c r="I129" s="12">
        <f t="shared" si="4"/>
        <v>672</v>
      </c>
      <c r="J129" s="12">
        <f t="shared" si="5"/>
        <v>714</v>
      </c>
      <c r="K129" s="12">
        <v>760</v>
      </c>
      <c r="L129" s="12">
        <v>0</v>
      </c>
      <c r="M129" s="12">
        <f t="shared" si="6"/>
        <v>340</v>
      </c>
      <c r="N129" s="13">
        <v>45908</v>
      </c>
      <c r="P129" s="13">
        <f t="shared" si="8"/>
        <v>45912</v>
      </c>
      <c r="Q129" s="14" t="s">
        <v>37</v>
      </c>
      <c r="R129" s="10" t="s">
        <v>37</v>
      </c>
      <c r="S129" s="10" t="s">
        <v>38</v>
      </c>
      <c r="T129" s="15"/>
      <c r="U129" s="10"/>
      <c r="V129" s="10"/>
      <c r="W129" s="10"/>
      <c r="X129" s="10"/>
      <c r="Y129" s="10"/>
      <c r="Z129" s="10"/>
      <c r="AA129" s="10"/>
      <c r="AB129" s="10"/>
      <c r="AC129" s="10"/>
      <c r="AD129" s="10"/>
      <c r="AE129" s="10"/>
      <c r="AF129" s="10"/>
      <c r="AG129" s="10"/>
      <c r="AH129" s="10"/>
    </row>
    <row r="130" ht="35.25" customHeight="1" spans="1:34">
      <c r="A130" s="9">
        <v>69</v>
      </c>
      <c r="B130" s="10">
        <f>VLOOKUP(C130,[1]Modelos!$B$2:$C$200,2,FALSE)</f>
        <v>0</v>
      </c>
      <c r="C130" s="10" t="s">
        <v>123</v>
      </c>
      <c r="D130" s="79" t="s">
        <v>43</v>
      </c>
      <c r="E130" s="10" t="s">
        <v>36</v>
      </c>
      <c r="F130" s="10"/>
      <c r="G130" s="12">
        <v>1200</v>
      </c>
      <c r="H130" s="12">
        <v>420</v>
      </c>
      <c r="I130" s="12">
        <f t="shared" ref="I130:I158" si="9">H130*1.6</f>
        <v>672</v>
      </c>
      <c r="J130" s="12">
        <f t="shared" ref="J130:J158" si="10">H130*1.7</f>
        <v>714</v>
      </c>
      <c r="K130" s="12">
        <v>760</v>
      </c>
      <c r="L130" s="12">
        <v>0</v>
      </c>
      <c r="M130" s="12">
        <f t="shared" ref="M130:M158" si="11">K130-H130</f>
        <v>340</v>
      </c>
      <c r="N130" s="13">
        <v>45908</v>
      </c>
      <c r="P130" s="13">
        <f t="shared" si="8"/>
        <v>45912</v>
      </c>
      <c r="Q130" s="14" t="s">
        <v>37</v>
      </c>
      <c r="R130" s="10" t="s">
        <v>37</v>
      </c>
      <c r="S130" s="10" t="s">
        <v>38</v>
      </c>
      <c r="T130" s="15"/>
      <c r="U130" s="10"/>
      <c r="V130" s="10"/>
      <c r="W130" s="10"/>
      <c r="X130" s="10"/>
      <c r="Y130" s="10"/>
      <c r="Z130" s="10"/>
      <c r="AA130" s="10"/>
      <c r="AB130" s="10"/>
      <c r="AC130" s="10"/>
      <c r="AD130" s="10"/>
      <c r="AE130" s="10"/>
      <c r="AF130" s="10"/>
      <c r="AG130" s="10"/>
      <c r="AH130" s="10"/>
    </row>
    <row r="131" ht="35.25" customHeight="1" spans="1:34">
      <c r="A131" s="9">
        <v>69</v>
      </c>
      <c r="B131" s="10">
        <f>VLOOKUP(C131,[1]Modelos!$B$2:$C$200,2,FALSE)</f>
        <v>0</v>
      </c>
      <c r="C131" s="10" t="s">
        <v>124</v>
      </c>
      <c r="D131" s="79" t="s">
        <v>43</v>
      </c>
      <c r="E131" s="10" t="s">
        <v>36</v>
      </c>
      <c r="F131" s="10"/>
      <c r="G131" s="12">
        <v>1200</v>
      </c>
      <c r="H131" s="12">
        <v>420</v>
      </c>
      <c r="I131" s="12">
        <f t="shared" si="9"/>
        <v>672</v>
      </c>
      <c r="J131" s="12">
        <f t="shared" si="10"/>
        <v>714</v>
      </c>
      <c r="K131" s="12">
        <v>760</v>
      </c>
      <c r="L131" s="12">
        <v>0</v>
      </c>
      <c r="M131" s="12">
        <f t="shared" si="11"/>
        <v>340</v>
      </c>
      <c r="N131" s="13">
        <v>45908</v>
      </c>
      <c r="P131" s="13">
        <f t="shared" si="8"/>
        <v>45912</v>
      </c>
      <c r="Q131" s="14" t="s">
        <v>37</v>
      </c>
      <c r="R131" s="10" t="s">
        <v>37</v>
      </c>
      <c r="S131" s="10" t="s">
        <v>38</v>
      </c>
      <c r="T131" s="15"/>
      <c r="U131" s="10"/>
      <c r="V131" s="10"/>
      <c r="W131" s="10"/>
      <c r="X131" s="10"/>
      <c r="Y131" s="10"/>
      <c r="Z131" s="10"/>
      <c r="AA131" s="10"/>
      <c r="AB131" s="10"/>
      <c r="AC131" s="10"/>
      <c r="AD131" s="10"/>
      <c r="AE131" s="10"/>
      <c r="AF131" s="10"/>
      <c r="AG131" s="10"/>
      <c r="AH131" s="10"/>
    </row>
    <row r="132" ht="35.25" customHeight="1" spans="1:34">
      <c r="A132" s="9"/>
      <c r="B132" s="10">
        <f>VLOOKUP(C132,[1]Modelos!$B$2:$C$200,2,FALSE)</f>
        <v>0</v>
      </c>
      <c r="C132" s="10" t="s">
        <v>125</v>
      </c>
      <c r="D132" s="79" t="s">
        <v>43</v>
      </c>
      <c r="E132" s="10" t="s">
        <v>36</v>
      </c>
      <c r="F132" s="10"/>
      <c r="G132" s="12">
        <v>1200</v>
      </c>
      <c r="H132" s="12">
        <v>420</v>
      </c>
      <c r="I132" s="12">
        <f t="shared" si="9"/>
        <v>672</v>
      </c>
      <c r="J132" s="12">
        <f t="shared" si="10"/>
        <v>714</v>
      </c>
      <c r="K132" s="12">
        <v>760</v>
      </c>
      <c r="L132" s="12">
        <v>0</v>
      </c>
      <c r="M132" s="12">
        <f t="shared" si="11"/>
        <v>340</v>
      </c>
      <c r="N132" s="13">
        <v>45908</v>
      </c>
      <c r="P132" s="13">
        <f t="shared" si="8"/>
        <v>45912</v>
      </c>
      <c r="Q132" s="14" t="s">
        <v>37</v>
      </c>
      <c r="R132" s="10" t="s">
        <v>37</v>
      </c>
      <c r="S132" s="10" t="s">
        <v>38</v>
      </c>
      <c r="T132" s="10" t="s">
        <v>38</v>
      </c>
      <c r="U132" s="10"/>
      <c r="V132" s="10"/>
      <c r="W132" s="10"/>
      <c r="X132" s="10"/>
      <c r="Y132" s="10"/>
      <c r="Z132" s="10"/>
      <c r="AA132" s="10"/>
      <c r="AB132" s="10"/>
      <c r="AC132" s="10"/>
      <c r="AD132" s="10"/>
      <c r="AE132" s="10"/>
      <c r="AF132" s="10"/>
      <c r="AG132" s="10"/>
      <c r="AH132" s="10"/>
    </row>
    <row r="133" ht="22.5" customHeight="1" spans="1:34">
      <c r="A133" s="10"/>
      <c r="B133" s="10">
        <f>VLOOKUP(C133,[1]Modelos!$B$2:$C$200,2,FALSE)</f>
        <v>0</v>
      </c>
      <c r="C133" s="10" t="s">
        <v>126</v>
      </c>
      <c r="D133" s="79" t="s">
        <v>35</v>
      </c>
      <c r="E133" s="10" t="s">
        <v>36</v>
      </c>
      <c r="F133" s="10"/>
      <c r="G133" s="12">
        <v>0</v>
      </c>
      <c r="H133" s="12">
        <v>0</v>
      </c>
      <c r="I133" s="12">
        <f t="shared" si="9"/>
        <v>0</v>
      </c>
      <c r="J133" s="12">
        <f t="shared" si="10"/>
        <v>0</v>
      </c>
      <c r="K133" s="12">
        <v>680</v>
      </c>
      <c r="L133" s="12">
        <v>0</v>
      </c>
      <c r="M133" s="12">
        <f t="shared" si="11"/>
        <v>680</v>
      </c>
      <c r="N133" s="13">
        <v>45947</v>
      </c>
      <c r="P133" s="13">
        <f t="shared" si="8"/>
        <v>45951</v>
      </c>
      <c r="Q133" s="14" t="s">
        <v>37</v>
      </c>
      <c r="R133" s="10" t="s">
        <v>37</v>
      </c>
      <c r="S133" s="10" t="s">
        <v>38</v>
      </c>
      <c r="T133" s="15"/>
      <c r="U133" s="10"/>
      <c r="V133" s="10"/>
      <c r="W133" s="10"/>
      <c r="X133" s="10"/>
      <c r="Y133" s="10"/>
      <c r="Z133" s="10"/>
      <c r="AA133" s="10"/>
      <c r="AB133" s="10"/>
      <c r="AC133" s="10"/>
      <c r="AD133" s="10"/>
      <c r="AE133" s="10"/>
      <c r="AF133" s="10"/>
      <c r="AG133" s="10"/>
      <c r="AH133" s="10"/>
    </row>
    <row r="134" ht="22.5" customHeight="1" spans="1:34">
      <c r="A134" s="10"/>
      <c r="B134" s="10">
        <f>VLOOKUP(C134,[1]Modelos!$B$2:$C$200,2,FALSE)</f>
        <v>0</v>
      </c>
      <c r="C134" s="10" t="s">
        <v>126</v>
      </c>
      <c r="D134" s="79" t="s">
        <v>52</v>
      </c>
      <c r="E134" s="10" t="s">
        <v>36</v>
      </c>
      <c r="F134" s="10"/>
      <c r="G134" s="12">
        <v>0</v>
      </c>
      <c r="H134" s="12">
        <v>0</v>
      </c>
      <c r="I134" s="12">
        <f t="shared" si="9"/>
        <v>0</v>
      </c>
      <c r="J134" s="12">
        <f t="shared" si="10"/>
        <v>0</v>
      </c>
      <c r="K134" s="12">
        <v>680</v>
      </c>
      <c r="L134" s="12">
        <v>0</v>
      </c>
      <c r="M134" s="12">
        <f t="shared" si="11"/>
        <v>680</v>
      </c>
      <c r="N134" s="13">
        <v>45947</v>
      </c>
      <c r="P134" s="13">
        <f t="shared" si="8"/>
        <v>45951</v>
      </c>
      <c r="Q134" s="14" t="s">
        <v>37</v>
      </c>
      <c r="R134" s="10" t="s">
        <v>37</v>
      </c>
      <c r="S134" s="10" t="s">
        <v>38</v>
      </c>
      <c r="T134" s="15"/>
      <c r="U134" s="10"/>
      <c r="V134" s="10"/>
      <c r="W134" s="10"/>
      <c r="X134" s="10"/>
      <c r="Y134" s="10"/>
      <c r="Z134" s="10"/>
      <c r="AA134" s="10"/>
      <c r="AB134" s="10"/>
      <c r="AC134" s="10"/>
      <c r="AD134" s="10"/>
      <c r="AE134" s="10"/>
      <c r="AF134" s="10"/>
      <c r="AG134" s="10"/>
      <c r="AH134" s="10"/>
    </row>
    <row r="135" ht="22.5" customHeight="1" spans="1:34">
      <c r="A135" s="9">
        <v>71</v>
      </c>
      <c r="B135" s="10">
        <f>VLOOKUP(C135,[1]Modelos!$B$2:$C$100,2,FALSE)</f>
        <v>0</v>
      </c>
      <c r="C135" s="10" t="s">
        <v>127</v>
      </c>
      <c r="D135" s="79" t="s">
        <v>65</v>
      </c>
      <c r="E135" s="10" t="s">
        <v>36</v>
      </c>
      <c r="F135" s="10"/>
      <c r="G135" s="12">
        <v>1200</v>
      </c>
      <c r="H135" s="12">
        <v>370</v>
      </c>
      <c r="I135" s="12">
        <f t="shared" si="9"/>
        <v>592</v>
      </c>
      <c r="J135" s="12">
        <f t="shared" si="10"/>
        <v>629</v>
      </c>
      <c r="K135" s="12">
        <v>750</v>
      </c>
      <c r="L135" s="12">
        <v>0</v>
      </c>
      <c r="M135" s="12">
        <f t="shared" si="11"/>
        <v>380</v>
      </c>
      <c r="N135" s="13">
        <v>45908</v>
      </c>
      <c r="P135" s="13">
        <f t="shared" si="8"/>
        <v>45912</v>
      </c>
      <c r="Q135" s="14" t="s">
        <v>37</v>
      </c>
      <c r="R135" s="10" t="s">
        <v>37</v>
      </c>
      <c r="S135" s="10" t="s">
        <v>38</v>
      </c>
      <c r="T135" s="15"/>
      <c r="U135" s="10"/>
      <c r="V135" s="10"/>
      <c r="W135" s="10"/>
      <c r="X135" s="10"/>
      <c r="Y135" s="10"/>
      <c r="Z135" s="10"/>
      <c r="AA135" s="10"/>
      <c r="AB135" s="10"/>
      <c r="AC135" s="10"/>
      <c r="AD135" s="10"/>
      <c r="AE135" s="10"/>
      <c r="AF135" s="10"/>
      <c r="AG135" s="10"/>
      <c r="AH135" s="10"/>
    </row>
    <row r="136" ht="22.5" customHeight="1" spans="1:34">
      <c r="A136" s="10"/>
      <c r="B136" s="10">
        <f>VLOOKUP(C136,[1]Modelos!$B$2:$C$200,2,FALSE)</f>
        <v>0</v>
      </c>
      <c r="C136" s="10" t="s">
        <v>128</v>
      </c>
      <c r="D136" s="79" t="s">
        <v>52</v>
      </c>
      <c r="E136" s="10" t="s">
        <v>36</v>
      </c>
      <c r="F136" s="10"/>
      <c r="G136" s="12">
        <v>0</v>
      </c>
      <c r="H136" s="12">
        <v>0</v>
      </c>
      <c r="I136" s="12">
        <f t="shared" si="9"/>
        <v>0</v>
      </c>
      <c r="J136" s="12">
        <f t="shared" si="10"/>
        <v>0</v>
      </c>
      <c r="K136" s="12">
        <v>850</v>
      </c>
      <c r="L136" s="12">
        <v>0</v>
      </c>
      <c r="M136" s="12">
        <f t="shared" si="11"/>
        <v>850</v>
      </c>
      <c r="N136" s="13">
        <v>46023</v>
      </c>
      <c r="P136" s="13">
        <f t="shared" si="8"/>
        <v>46027</v>
      </c>
      <c r="Q136" s="14" t="s">
        <v>37</v>
      </c>
      <c r="R136" s="10" t="s">
        <v>37</v>
      </c>
      <c r="S136" s="10" t="s">
        <v>38</v>
      </c>
      <c r="T136" s="15"/>
      <c r="U136" s="10"/>
      <c r="V136" s="10"/>
      <c r="W136" s="10"/>
      <c r="X136" s="10"/>
      <c r="Y136" s="10"/>
      <c r="Z136" s="10"/>
      <c r="AA136" s="10"/>
      <c r="AB136" s="10"/>
      <c r="AC136" s="10"/>
      <c r="AD136" s="10"/>
      <c r="AE136" s="10"/>
      <c r="AF136" s="10"/>
      <c r="AG136" s="10"/>
      <c r="AH136" s="10"/>
    </row>
    <row r="137" ht="22.5" customHeight="1" spans="1:34">
      <c r="A137" s="10"/>
      <c r="B137" s="10">
        <f>VLOOKUP(C137,[1]Modelos!$B$2:$C$200,2,FALSE)</f>
        <v>0</v>
      </c>
      <c r="C137" s="10" t="s">
        <v>128</v>
      </c>
      <c r="D137" s="79" t="s">
        <v>52</v>
      </c>
      <c r="E137" s="10" t="s">
        <v>36</v>
      </c>
      <c r="F137" s="10"/>
      <c r="G137" s="12">
        <v>0</v>
      </c>
      <c r="H137" s="12">
        <v>0</v>
      </c>
      <c r="I137" s="12">
        <f t="shared" si="9"/>
        <v>0</v>
      </c>
      <c r="J137" s="12">
        <f t="shared" si="10"/>
        <v>0</v>
      </c>
      <c r="K137" s="12">
        <v>850</v>
      </c>
      <c r="L137" s="12">
        <v>0</v>
      </c>
      <c r="M137" s="12">
        <f t="shared" si="11"/>
        <v>850</v>
      </c>
      <c r="N137" s="13">
        <v>46023</v>
      </c>
      <c r="P137" s="13">
        <f t="shared" si="8"/>
        <v>46027</v>
      </c>
      <c r="Q137" s="14" t="s">
        <v>37</v>
      </c>
      <c r="R137" s="10" t="s">
        <v>37</v>
      </c>
      <c r="S137" s="10" t="s">
        <v>38</v>
      </c>
      <c r="T137" s="15"/>
      <c r="U137" s="10"/>
      <c r="V137" s="10"/>
      <c r="W137" s="10"/>
      <c r="X137" s="10"/>
      <c r="Y137" s="10"/>
      <c r="Z137" s="10"/>
      <c r="AA137" s="10"/>
      <c r="AB137" s="10"/>
      <c r="AC137" s="10"/>
      <c r="AD137" s="10"/>
      <c r="AE137" s="10"/>
      <c r="AF137" s="10"/>
      <c r="AG137" s="10"/>
      <c r="AH137" s="10"/>
    </row>
    <row r="138" ht="22.5" customHeight="1" spans="1:34">
      <c r="A138" s="10"/>
      <c r="B138" s="10">
        <f>VLOOKUP(C138,[1]Modelos!$B$2:$C$200,2,FALSE)</f>
        <v>0</v>
      </c>
      <c r="C138" s="10" t="s">
        <v>128</v>
      </c>
      <c r="D138" s="79" t="s">
        <v>35</v>
      </c>
      <c r="E138" s="10" t="s">
        <v>36</v>
      </c>
      <c r="F138" s="10"/>
      <c r="G138" s="12">
        <v>0</v>
      </c>
      <c r="H138" s="12">
        <v>0</v>
      </c>
      <c r="I138" s="12">
        <f t="shared" si="9"/>
        <v>0</v>
      </c>
      <c r="J138" s="12">
        <f t="shared" si="10"/>
        <v>0</v>
      </c>
      <c r="K138" s="12">
        <v>850</v>
      </c>
      <c r="L138" s="12">
        <v>0</v>
      </c>
      <c r="M138" s="12">
        <f t="shared" si="11"/>
        <v>850</v>
      </c>
      <c r="N138" s="13">
        <v>46023</v>
      </c>
      <c r="P138" s="13">
        <f t="shared" si="8"/>
        <v>46027</v>
      </c>
      <c r="Q138" s="14" t="s">
        <v>37</v>
      </c>
      <c r="R138" s="10" t="s">
        <v>37</v>
      </c>
      <c r="S138" s="10" t="s">
        <v>38</v>
      </c>
      <c r="T138" s="15"/>
      <c r="U138" s="10"/>
      <c r="V138" s="10"/>
      <c r="W138" s="10"/>
      <c r="X138" s="10"/>
      <c r="Y138" s="10"/>
      <c r="Z138" s="10"/>
      <c r="AA138" s="10"/>
      <c r="AB138" s="10"/>
      <c r="AC138" s="10"/>
      <c r="AD138" s="10"/>
      <c r="AE138" s="10"/>
      <c r="AF138" s="10"/>
      <c r="AG138" s="10"/>
      <c r="AH138" s="10"/>
    </row>
    <row r="139" ht="22.5" customHeight="1" spans="1:34">
      <c r="A139" s="10"/>
      <c r="B139" s="10">
        <f>VLOOKUP(C139,[1]Modelos!$B$2:$C$200,2,FALSE)</f>
        <v>0</v>
      </c>
      <c r="C139" s="10" t="s">
        <v>128</v>
      </c>
      <c r="D139" s="79" t="s">
        <v>35</v>
      </c>
      <c r="E139" s="10" t="s">
        <v>36</v>
      </c>
      <c r="F139" s="10"/>
      <c r="G139" s="12">
        <v>0</v>
      </c>
      <c r="H139" s="12">
        <v>0</v>
      </c>
      <c r="I139" s="12">
        <f t="shared" si="9"/>
        <v>0</v>
      </c>
      <c r="J139" s="12">
        <f t="shared" si="10"/>
        <v>0</v>
      </c>
      <c r="K139" s="12">
        <v>850</v>
      </c>
      <c r="L139" s="12">
        <v>0</v>
      </c>
      <c r="M139" s="12">
        <f t="shared" si="11"/>
        <v>850</v>
      </c>
      <c r="N139" s="13">
        <v>46023</v>
      </c>
      <c r="P139" s="13">
        <f t="shared" si="8"/>
        <v>46027</v>
      </c>
      <c r="Q139" s="14" t="s">
        <v>37</v>
      </c>
      <c r="R139" s="10" t="s">
        <v>37</v>
      </c>
      <c r="S139" s="10" t="s">
        <v>38</v>
      </c>
      <c r="T139" s="15"/>
      <c r="U139" s="10"/>
      <c r="V139" s="10"/>
      <c r="W139" s="10"/>
      <c r="X139" s="10"/>
      <c r="Y139" s="10"/>
      <c r="Z139" s="10"/>
      <c r="AA139" s="10"/>
      <c r="AB139" s="10"/>
      <c r="AC139" s="10"/>
      <c r="AD139" s="10"/>
      <c r="AE139" s="10"/>
      <c r="AF139" s="10"/>
      <c r="AG139" s="10"/>
      <c r="AH139" s="10"/>
    </row>
    <row r="140" ht="33" customHeight="1" spans="1:34">
      <c r="A140" s="10"/>
      <c r="B140" s="10">
        <f>VLOOKUP(C140,[1]Modelos!$B$2:$C$200,2,FALSE)</f>
        <v>0</v>
      </c>
      <c r="C140" s="10" t="s">
        <v>129</v>
      </c>
      <c r="D140" s="79" t="s">
        <v>52</v>
      </c>
      <c r="E140" s="10" t="s">
        <v>36</v>
      </c>
      <c r="F140" s="10"/>
      <c r="G140" s="12">
        <v>0</v>
      </c>
      <c r="H140" s="12">
        <v>0</v>
      </c>
      <c r="I140" s="12">
        <f t="shared" si="9"/>
        <v>0</v>
      </c>
      <c r="J140" s="12">
        <f t="shared" si="10"/>
        <v>0</v>
      </c>
      <c r="K140" s="12">
        <v>1380</v>
      </c>
      <c r="L140" s="12">
        <v>0</v>
      </c>
      <c r="M140" s="12">
        <f t="shared" si="11"/>
        <v>1380</v>
      </c>
      <c r="N140" s="13">
        <v>45947</v>
      </c>
      <c r="P140" s="13">
        <f t="shared" si="8"/>
        <v>45951</v>
      </c>
      <c r="Q140" s="14" t="s">
        <v>37</v>
      </c>
      <c r="R140" s="10" t="s">
        <v>37</v>
      </c>
      <c r="S140" s="10"/>
      <c r="T140" s="15"/>
      <c r="U140" s="10"/>
      <c r="V140" s="10"/>
      <c r="W140" s="10"/>
      <c r="X140" s="10"/>
      <c r="Y140" s="10"/>
      <c r="Z140" s="10"/>
      <c r="AA140" s="10"/>
      <c r="AB140" s="10"/>
      <c r="AC140" s="10"/>
      <c r="AD140" s="10"/>
      <c r="AE140" s="10"/>
      <c r="AF140" s="10"/>
      <c r="AG140" s="10"/>
      <c r="AH140" s="10"/>
    </row>
    <row r="141" ht="33" customHeight="1" spans="1:34">
      <c r="A141" s="10"/>
      <c r="B141" s="10">
        <f>VLOOKUP(C141,[1]Modelos!$B$2:$C$200,2,FALSE)</f>
        <v>0</v>
      </c>
      <c r="C141" s="10" t="s">
        <v>129</v>
      </c>
      <c r="D141" s="79" t="s">
        <v>50</v>
      </c>
      <c r="E141" s="10" t="s">
        <v>36</v>
      </c>
      <c r="F141" s="10"/>
      <c r="G141" s="12">
        <v>0</v>
      </c>
      <c r="H141" s="12">
        <v>0</v>
      </c>
      <c r="I141" s="12">
        <f t="shared" si="9"/>
        <v>0</v>
      </c>
      <c r="J141" s="12">
        <f t="shared" si="10"/>
        <v>0</v>
      </c>
      <c r="K141" s="12">
        <v>1380</v>
      </c>
      <c r="L141" s="12">
        <v>0</v>
      </c>
      <c r="M141" s="12">
        <f t="shared" si="11"/>
        <v>1380</v>
      </c>
      <c r="N141" s="13">
        <v>45947</v>
      </c>
      <c r="P141" s="13">
        <f t="shared" si="8"/>
        <v>45951</v>
      </c>
      <c r="Q141" s="14" t="s">
        <v>37</v>
      </c>
      <c r="R141" s="10" t="s">
        <v>37</v>
      </c>
      <c r="S141" s="10"/>
      <c r="T141" s="15"/>
      <c r="U141" s="10"/>
      <c r="V141" s="10"/>
      <c r="W141" s="10"/>
      <c r="X141" s="10"/>
      <c r="Y141" s="10"/>
      <c r="Z141" s="10"/>
      <c r="AA141" s="10"/>
      <c r="AB141" s="10"/>
      <c r="AC141" s="10"/>
      <c r="AD141" s="10"/>
      <c r="AE141" s="10"/>
      <c r="AF141" s="10"/>
      <c r="AG141" s="10"/>
      <c r="AH141" s="10"/>
    </row>
    <row r="142" ht="33" customHeight="1" spans="1:34">
      <c r="A142" s="10"/>
      <c r="B142" s="10">
        <f>VLOOKUP(C142,[1]Modelos!$B$2:$C$200,2,FALSE)</f>
        <v>0</v>
      </c>
      <c r="C142" s="10" t="s">
        <v>130</v>
      </c>
      <c r="D142" s="79" t="s">
        <v>43</v>
      </c>
      <c r="E142" s="10" t="s">
        <v>36</v>
      </c>
      <c r="F142" s="10"/>
      <c r="G142" s="12">
        <v>0</v>
      </c>
      <c r="H142" s="12">
        <v>0</v>
      </c>
      <c r="I142" s="12">
        <f t="shared" si="9"/>
        <v>0</v>
      </c>
      <c r="J142" s="12">
        <f t="shared" si="10"/>
        <v>0</v>
      </c>
      <c r="K142" s="12">
        <v>1560</v>
      </c>
      <c r="L142" s="12">
        <v>0</v>
      </c>
      <c r="M142" s="12">
        <f t="shared" si="11"/>
        <v>1560</v>
      </c>
      <c r="N142" s="13">
        <v>45947</v>
      </c>
      <c r="P142" s="13">
        <f t="shared" si="8"/>
        <v>45951</v>
      </c>
      <c r="Q142" s="14" t="s">
        <v>37</v>
      </c>
      <c r="R142" s="10" t="s">
        <v>37</v>
      </c>
      <c r="S142" s="10"/>
      <c r="T142" s="15"/>
      <c r="U142" s="10"/>
      <c r="V142" s="10"/>
      <c r="W142" s="10"/>
      <c r="X142" s="10"/>
      <c r="Y142" s="10"/>
      <c r="Z142" s="10"/>
      <c r="AA142" s="10"/>
      <c r="AB142" s="10"/>
      <c r="AC142" s="10"/>
      <c r="AD142" s="10"/>
      <c r="AE142" s="10"/>
      <c r="AF142" s="10"/>
      <c r="AG142" s="10"/>
      <c r="AH142" s="10"/>
    </row>
    <row r="143" ht="33" customHeight="1" spans="1:34">
      <c r="A143" s="10"/>
      <c r="B143" s="10">
        <f>VLOOKUP(C143,[1]Modelos!$B$2:$C$200,2,FALSE)</f>
        <v>0</v>
      </c>
      <c r="C143" s="10" t="s">
        <v>130</v>
      </c>
      <c r="D143" s="79" t="s">
        <v>63</v>
      </c>
      <c r="E143" s="10" t="s">
        <v>36</v>
      </c>
      <c r="F143" s="10"/>
      <c r="G143" s="12">
        <v>0</v>
      </c>
      <c r="H143" s="12">
        <v>0</v>
      </c>
      <c r="I143" s="12">
        <f t="shared" si="9"/>
        <v>0</v>
      </c>
      <c r="J143" s="12">
        <f t="shared" si="10"/>
        <v>0</v>
      </c>
      <c r="K143" s="12">
        <v>1530</v>
      </c>
      <c r="L143" s="12">
        <v>0</v>
      </c>
      <c r="M143" s="12">
        <f t="shared" si="11"/>
        <v>1530</v>
      </c>
      <c r="N143" s="13">
        <v>45947</v>
      </c>
      <c r="P143" s="13">
        <f t="shared" si="8"/>
        <v>45951</v>
      </c>
      <c r="Q143" s="14" t="s">
        <v>37</v>
      </c>
      <c r="R143" s="10" t="s">
        <v>37</v>
      </c>
      <c r="S143" s="10"/>
      <c r="T143" s="15"/>
      <c r="U143" s="10"/>
      <c r="V143" s="10"/>
      <c r="W143" s="10"/>
      <c r="X143" s="10"/>
      <c r="Y143" s="10"/>
      <c r="Z143" s="10"/>
      <c r="AA143" s="10"/>
      <c r="AB143" s="10"/>
      <c r="AC143" s="10"/>
      <c r="AD143" s="10"/>
      <c r="AE143" s="10"/>
      <c r="AF143" s="10"/>
      <c r="AG143" s="10"/>
      <c r="AH143" s="10"/>
    </row>
    <row r="144" ht="33" customHeight="1" spans="1:34">
      <c r="A144" s="10"/>
      <c r="B144" s="10">
        <f>VLOOKUP(C144,[1]Modelos!$B$2:$C$200,2,FALSE)</f>
        <v>0</v>
      </c>
      <c r="C144" s="10" t="s">
        <v>131</v>
      </c>
      <c r="D144" s="79" t="s">
        <v>63</v>
      </c>
      <c r="E144" s="10" t="s">
        <v>36</v>
      </c>
      <c r="F144" s="10" t="s">
        <v>132</v>
      </c>
      <c r="G144" s="12">
        <v>0</v>
      </c>
      <c r="H144" s="12">
        <v>0</v>
      </c>
      <c r="I144" s="12">
        <f t="shared" si="9"/>
        <v>0</v>
      </c>
      <c r="J144" s="12">
        <f t="shared" si="10"/>
        <v>0</v>
      </c>
      <c r="K144" s="12">
        <v>490</v>
      </c>
      <c r="L144" s="12"/>
      <c r="M144" s="12">
        <f t="shared" si="11"/>
        <v>490</v>
      </c>
      <c r="N144" s="13"/>
      <c r="P144" s="13">
        <f t="shared" si="8"/>
        <v>4</v>
      </c>
      <c r="Q144" s="14"/>
      <c r="R144" s="10"/>
      <c r="S144" s="10"/>
      <c r="T144" s="15"/>
      <c r="U144" s="10"/>
      <c r="V144" s="10"/>
      <c r="W144" s="10"/>
      <c r="X144" s="10"/>
      <c r="Y144" s="10"/>
      <c r="Z144" s="10"/>
      <c r="AA144" s="10"/>
      <c r="AB144" s="10"/>
      <c r="AC144" s="10"/>
      <c r="AD144" s="10"/>
      <c r="AE144" s="10"/>
      <c r="AF144" s="10"/>
      <c r="AG144" s="10"/>
      <c r="AH144" s="10"/>
    </row>
    <row r="145" ht="33" customHeight="1" spans="1:34">
      <c r="A145" s="10"/>
      <c r="B145" s="10">
        <f>VLOOKUP(C145,[1]Modelos!$B$2:$C$200,2,FALSE)</f>
        <v>0</v>
      </c>
      <c r="C145" s="10" t="s">
        <v>133</v>
      </c>
      <c r="D145" s="79" t="s">
        <v>63</v>
      </c>
      <c r="E145" s="10" t="s">
        <v>36</v>
      </c>
      <c r="F145" s="10"/>
      <c r="G145" s="12">
        <v>0</v>
      </c>
      <c r="H145" s="12">
        <v>0</v>
      </c>
      <c r="I145" s="12">
        <f t="shared" si="9"/>
        <v>0</v>
      </c>
      <c r="J145" s="12">
        <f t="shared" si="10"/>
        <v>0</v>
      </c>
      <c r="K145" s="12">
        <v>580</v>
      </c>
      <c r="L145" s="12"/>
      <c r="M145" s="12">
        <f t="shared" si="11"/>
        <v>580</v>
      </c>
      <c r="N145" s="13"/>
      <c r="P145" s="13">
        <f t="shared" si="8"/>
        <v>4</v>
      </c>
      <c r="Q145" s="14"/>
      <c r="R145" s="10"/>
      <c r="S145" s="10"/>
      <c r="T145" s="15"/>
      <c r="U145" s="10"/>
      <c r="V145" s="10"/>
      <c r="W145" s="10"/>
      <c r="X145" s="10"/>
      <c r="Y145" s="10"/>
      <c r="Z145" s="10"/>
      <c r="AA145" s="10"/>
      <c r="AB145" s="10"/>
      <c r="AC145" s="10"/>
      <c r="AD145" s="10"/>
      <c r="AE145" s="10"/>
      <c r="AF145" s="10"/>
      <c r="AG145" s="10"/>
      <c r="AH145" s="10"/>
    </row>
    <row r="146" ht="33" customHeight="1" spans="1:34">
      <c r="A146" s="10"/>
      <c r="B146" s="10">
        <f>VLOOKUP(C146,[1]Modelos!$B$2:$C$200,2,FALSE)</f>
        <v>0</v>
      </c>
      <c r="C146" s="10" t="s">
        <v>134</v>
      </c>
      <c r="D146" s="79" t="s">
        <v>63</v>
      </c>
      <c r="E146" s="10" t="s">
        <v>36</v>
      </c>
      <c r="F146" s="10"/>
      <c r="G146" s="12">
        <v>0</v>
      </c>
      <c r="H146" s="12">
        <v>0</v>
      </c>
      <c r="I146" s="12">
        <f t="shared" si="9"/>
        <v>0</v>
      </c>
      <c r="J146" s="12">
        <f t="shared" si="10"/>
        <v>0</v>
      </c>
      <c r="K146" s="12">
        <v>890</v>
      </c>
      <c r="L146" s="12"/>
      <c r="M146" s="12">
        <f t="shared" si="11"/>
        <v>890</v>
      </c>
      <c r="N146" s="13"/>
      <c r="P146" s="13">
        <f t="shared" si="8"/>
        <v>4</v>
      </c>
      <c r="Q146" s="14"/>
      <c r="R146" s="10"/>
      <c r="S146" s="10"/>
      <c r="T146" s="15"/>
      <c r="U146" s="10"/>
      <c r="V146" s="10"/>
      <c r="W146" s="10"/>
      <c r="X146" s="10"/>
      <c r="Y146" s="10"/>
      <c r="Z146" s="10"/>
      <c r="AA146" s="10"/>
      <c r="AB146" s="10"/>
      <c r="AC146" s="10"/>
      <c r="AD146" s="10"/>
      <c r="AE146" s="10"/>
      <c r="AF146" s="10"/>
      <c r="AG146" s="10"/>
      <c r="AH146" s="10"/>
    </row>
    <row r="147" ht="33" customHeight="1" spans="1:34">
      <c r="A147" s="10"/>
      <c r="B147" s="10">
        <f>VLOOKUP(C147,[1]Modelos!$B$2:$C$200,2,FALSE)</f>
        <v>0</v>
      </c>
      <c r="C147" s="10" t="s">
        <v>135</v>
      </c>
      <c r="D147" s="79" t="s">
        <v>63</v>
      </c>
      <c r="E147" s="10" t="s">
        <v>36</v>
      </c>
      <c r="F147" s="10" t="s">
        <v>132</v>
      </c>
      <c r="G147" s="12">
        <v>0</v>
      </c>
      <c r="H147" s="12">
        <v>0</v>
      </c>
      <c r="I147" s="12">
        <f t="shared" si="9"/>
        <v>0</v>
      </c>
      <c r="J147" s="12">
        <f t="shared" si="10"/>
        <v>0</v>
      </c>
      <c r="K147" s="12">
        <v>850</v>
      </c>
      <c r="L147" s="12"/>
      <c r="M147" s="12">
        <f t="shared" si="11"/>
        <v>850</v>
      </c>
      <c r="N147" s="13"/>
      <c r="P147" s="13">
        <f t="shared" si="8"/>
        <v>4</v>
      </c>
      <c r="Q147" s="14"/>
      <c r="R147" s="10"/>
      <c r="S147" s="10"/>
      <c r="T147" s="15"/>
      <c r="U147" s="10"/>
      <c r="V147" s="10"/>
      <c r="W147" s="10"/>
      <c r="X147" s="10"/>
      <c r="Y147" s="10"/>
      <c r="Z147" s="10"/>
      <c r="AA147" s="10"/>
      <c r="AB147" s="10"/>
      <c r="AC147" s="10"/>
      <c r="AD147" s="10"/>
      <c r="AE147" s="10"/>
      <c r="AF147" s="10"/>
      <c r="AG147" s="10"/>
      <c r="AH147" s="10"/>
    </row>
    <row r="148" ht="33" customHeight="1" spans="1:34">
      <c r="A148" s="51"/>
      <c r="B148" s="52">
        <f>VLOOKUP(C148,[1]Modelos!$B$2:$C$200,2,FALSE)</f>
        <v>0</v>
      </c>
      <c r="C148" s="53" t="s">
        <v>136</v>
      </c>
      <c r="D148" s="85" t="s">
        <v>63</v>
      </c>
      <c r="E148" s="55" t="s">
        <v>36</v>
      </c>
      <c r="F148" s="10"/>
      <c r="G148" s="56">
        <v>0</v>
      </c>
      <c r="H148" s="56">
        <v>0</v>
      </c>
      <c r="I148" s="56">
        <f t="shared" si="9"/>
        <v>0</v>
      </c>
      <c r="J148" s="56">
        <f t="shared" si="10"/>
        <v>0</v>
      </c>
      <c r="K148" s="56">
        <v>880</v>
      </c>
      <c r="L148" s="57"/>
      <c r="M148" s="56">
        <f t="shared" si="11"/>
        <v>880</v>
      </c>
      <c r="N148" s="58"/>
      <c r="O148" s="52"/>
      <c r="P148" s="59">
        <f t="shared" si="8"/>
        <v>4</v>
      </c>
      <c r="Q148" s="52"/>
      <c r="R148" s="52"/>
      <c r="S148" s="52"/>
      <c r="T148" s="60"/>
      <c r="U148" s="52"/>
      <c r="V148" s="52"/>
      <c r="W148" s="52"/>
      <c r="X148" s="52"/>
      <c r="Y148" s="52"/>
      <c r="Z148" s="52"/>
      <c r="AA148" s="52"/>
      <c r="AB148" s="52"/>
      <c r="AC148" s="52"/>
      <c r="AD148" s="52"/>
      <c r="AE148" s="52"/>
      <c r="AF148" s="52"/>
      <c r="AG148" s="52"/>
      <c r="AH148" s="61"/>
    </row>
    <row r="149" ht="33" customHeight="1" spans="1:34">
      <c r="A149" s="51"/>
      <c r="B149" s="52">
        <f>VLOOKUP(C149,[1]Modelos!$B$2:$C$200,2,FALSE)</f>
        <v>0</v>
      </c>
      <c r="C149" s="53" t="s">
        <v>137</v>
      </c>
      <c r="D149" s="85" t="s">
        <v>63</v>
      </c>
      <c r="E149" s="55" t="s">
        <v>36</v>
      </c>
      <c r="F149" s="10"/>
      <c r="G149" s="56">
        <v>0</v>
      </c>
      <c r="H149" s="56">
        <v>0</v>
      </c>
      <c r="I149" s="56">
        <f t="shared" si="9"/>
        <v>0</v>
      </c>
      <c r="J149" s="56">
        <f t="shared" si="10"/>
        <v>0</v>
      </c>
      <c r="K149" s="56">
        <v>890</v>
      </c>
      <c r="L149" s="57"/>
      <c r="M149" s="56">
        <f t="shared" si="11"/>
        <v>890</v>
      </c>
      <c r="N149" s="58"/>
      <c r="O149" s="52"/>
      <c r="P149" s="59">
        <f t="shared" si="8"/>
        <v>4</v>
      </c>
      <c r="Q149" s="52"/>
      <c r="R149" s="52"/>
      <c r="S149" s="52"/>
      <c r="T149" s="60"/>
      <c r="U149" s="52"/>
      <c r="V149" s="52"/>
      <c r="W149" s="52"/>
      <c r="X149" s="52"/>
      <c r="Y149" s="52"/>
      <c r="Z149" s="52"/>
      <c r="AA149" s="52"/>
      <c r="AB149" s="52"/>
      <c r="AC149" s="52"/>
      <c r="AD149" s="52"/>
      <c r="AE149" s="52"/>
      <c r="AF149" s="52"/>
      <c r="AG149" s="52"/>
      <c r="AH149" s="61"/>
    </row>
    <row r="150" ht="33" customHeight="1" spans="1:34">
      <c r="A150" s="62"/>
      <c r="B150" s="63">
        <f>VLOOKUP(C150,[1]Modelos!$B$2:$C$200,2,FALSE)</f>
        <v>0</v>
      </c>
      <c r="C150" s="64" t="s">
        <v>130</v>
      </c>
      <c r="D150" s="86" t="s">
        <v>52</v>
      </c>
      <c r="E150" s="55" t="s">
        <v>36</v>
      </c>
      <c r="F150" s="10"/>
      <c r="G150" s="66">
        <v>0</v>
      </c>
      <c r="H150" s="66">
        <v>0</v>
      </c>
      <c r="I150" s="66">
        <f t="shared" si="9"/>
        <v>0</v>
      </c>
      <c r="J150" s="66">
        <f t="shared" si="10"/>
        <v>0</v>
      </c>
      <c r="K150" s="12">
        <v>1560</v>
      </c>
      <c r="L150" s="66">
        <v>0</v>
      </c>
      <c r="M150" s="66">
        <f t="shared" si="11"/>
        <v>1560</v>
      </c>
      <c r="N150" s="67">
        <v>45947</v>
      </c>
      <c r="O150" s="63"/>
      <c r="P150" s="67">
        <f t="shared" si="8"/>
        <v>45951</v>
      </c>
      <c r="Q150" s="68" t="s">
        <v>37</v>
      </c>
      <c r="R150" s="64" t="s">
        <v>37</v>
      </c>
      <c r="S150" s="63"/>
      <c r="T150" s="69"/>
      <c r="U150" s="63"/>
      <c r="V150" s="63"/>
      <c r="W150" s="63"/>
      <c r="X150" s="63"/>
      <c r="Y150" s="63"/>
      <c r="Z150" s="63"/>
      <c r="AA150" s="63"/>
      <c r="AB150" s="63"/>
      <c r="AC150" s="63"/>
      <c r="AD150" s="63"/>
      <c r="AE150" s="63"/>
      <c r="AF150" s="63"/>
      <c r="AG150" s="63"/>
      <c r="AH150" s="70"/>
    </row>
    <row r="151" ht="31.5" hidden="1" customHeight="1" spans="1:34">
      <c r="A151" s="62"/>
      <c r="B151" s="63">
        <f>VLOOKUP(C151,[1]Modelos!$B$2:$C$200,2,FALSE)</f>
        <v>0</v>
      </c>
      <c r="C151" s="64" t="s">
        <v>138</v>
      </c>
      <c r="D151" s="87" t="s">
        <v>53</v>
      </c>
      <c r="E151" s="55" t="s">
        <v>36</v>
      </c>
      <c r="F151" s="10"/>
      <c r="G151" s="66">
        <v>0</v>
      </c>
      <c r="H151" s="66">
        <v>0</v>
      </c>
      <c r="I151" s="66">
        <f t="shared" si="9"/>
        <v>0</v>
      </c>
      <c r="J151" s="66">
        <f t="shared" si="10"/>
        <v>0</v>
      </c>
      <c r="K151" s="12">
        <v>890</v>
      </c>
      <c r="L151" s="66">
        <v>0</v>
      </c>
      <c r="M151" s="66">
        <f t="shared" si="11"/>
        <v>890</v>
      </c>
      <c r="N151" s="67">
        <v>45947</v>
      </c>
      <c r="O151" s="63"/>
      <c r="P151" s="67">
        <f t="shared" si="8"/>
        <v>45951</v>
      </c>
      <c r="Q151" s="68" t="s">
        <v>37</v>
      </c>
      <c r="R151" s="64" t="s">
        <v>37</v>
      </c>
      <c r="S151" s="63"/>
      <c r="T151" s="69"/>
      <c r="U151" s="63"/>
      <c r="V151" s="63"/>
      <c r="W151" s="63"/>
      <c r="X151" s="63"/>
      <c r="Y151" s="63"/>
      <c r="Z151" s="63"/>
      <c r="AA151" s="63"/>
      <c r="AB151" s="63"/>
      <c r="AC151" s="63"/>
      <c r="AD151" s="63"/>
      <c r="AE151" s="63"/>
      <c r="AF151" s="63"/>
      <c r="AG151" s="63"/>
      <c r="AH151" s="70"/>
    </row>
    <row r="152" ht="31.5" customHeight="1" spans="1:34">
      <c r="A152" s="62"/>
      <c r="B152" s="63">
        <f>VLOOKUP(C152,[1]Modelos!$B$2:$C$200,2,FALSE)</f>
        <v>0</v>
      </c>
      <c r="C152" s="64" t="s">
        <v>138</v>
      </c>
      <c r="D152" s="86" t="s">
        <v>35</v>
      </c>
      <c r="E152" s="55" t="s">
        <v>36</v>
      </c>
      <c r="F152" s="10"/>
      <c r="G152" s="66">
        <v>0</v>
      </c>
      <c r="H152" s="66">
        <v>0</v>
      </c>
      <c r="I152" s="66">
        <f t="shared" si="9"/>
        <v>0</v>
      </c>
      <c r="J152" s="66">
        <f t="shared" si="10"/>
        <v>0</v>
      </c>
      <c r="K152" s="12">
        <v>890</v>
      </c>
      <c r="L152" s="66">
        <v>0</v>
      </c>
      <c r="M152" s="66">
        <f t="shared" si="11"/>
        <v>890</v>
      </c>
      <c r="N152" s="67">
        <v>45947</v>
      </c>
      <c r="O152" s="63"/>
      <c r="P152" s="67">
        <f t="shared" si="8"/>
        <v>45951</v>
      </c>
      <c r="Q152" s="68" t="s">
        <v>37</v>
      </c>
      <c r="R152" s="64" t="s">
        <v>37</v>
      </c>
      <c r="S152" s="63"/>
      <c r="T152" s="69"/>
      <c r="U152" s="63"/>
      <c r="V152" s="63"/>
      <c r="W152" s="63"/>
      <c r="X152" s="63"/>
      <c r="Y152" s="63"/>
      <c r="Z152" s="63"/>
      <c r="AA152" s="63"/>
      <c r="AB152" s="63"/>
      <c r="AC152" s="63"/>
      <c r="AD152" s="63"/>
      <c r="AE152" s="63"/>
      <c r="AF152" s="63"/>
      <c r="AG152" s="63"/>
      <c r="AH152" s="70"/>
    </row>
    <row r="153" ht="31.5" hidden="1" customHeight="1" spans="1:34">
      <c r="A153" s="62"/>
      <c r="B153" s="63">
        <f>VLOOKUP(C153,[1]Modelos!$B$2:$C$200,2,FALSE)</f>
        <v>0</v>
      </c>
      <c r="C153" s="64" t="s">
        <v>138</v>
      </c>
      <c r="D153" s="87" t="s">
        <v>39</v>
      </c>
      <c r="E153" s="55" t="s">
        <v>36</v>
      </c>
      <c r="F153" s="10"/>
      <c r="G153" s="66">
        <v>0</v>
      </c>
      <c r="H153" s="66">
        <v>0</v>
      </c>
      <c r="I153" s="66">
        <f t="shared" si="9"/>
        <v>0</v>
      </c>
      <c r="J153" s="66">
        <f t="shared" si="10"/>
        <v>0</v>
      </c>
      <c r="K153" s="12">
        <v>890</v>
      </c>
      <c r="L153" s="66">
        <v>0</v>
      </c>
      <c r="M153" s="66">
        <f t="shared" si="11"/>
        <v>890</v>
      </c>
      <c r="N153" s="67">
        <v>45947</v>
      </c>
      <c r="O153" s="63"/>
      <c r="P153" s="67">
        <f t="shared" si="8"/>
        <v>45951</v>
      </c>
      <c r="Q153" s="68" t="s">
        <v>37</v>
      </c>
      <c r="R153" s="64" t="s">
        <v>37</v>
      </c>
      <c r="S153" s="63"/>
      <c r="T153" s="69"/>
      <c r="U153" s="63"/>
      <c r="V153" s="63"/>
      <c r="W153" s="63"/>
      <c r="X153" s="63"/>
      <c r="Y153" s="63"/>
      <c r="Z153" s="63"/>
      <c r="AA153" s="63"/>
      <c r="AB153" s="63"/>
      <c r="AC153" s="63"/>
      <c r="AD153" s="63"/>
      <c r="AE153" s="63"/>
      <c r="AF153" s="63"/>
      <c r="AG153" s="63"/>
      <c r="AH153" s="70"/>
    </row>
    <row r="154" ht="31.5" customHeight="1" spans="1:34">
      <c r="A154" s="62"/>
      <c r="B154" s="63">
        <f>VLOOKUP(C154,[1]Modelos!$B$2:$C$200,2,FALSE)</f>
        <v>0</v>
      </c>
      <c r="C154" s="64" t="s">
        <v>138</v>
      </c>
      <c r="D154" s="86" t="s">
        <v>50</v>
      </c>
      <c r="E154" s="55" t="s">
        <v>36</v>
      </c>
      <c r="F154" s="10"/>
      <c r="G154" s="66">
        <v>0</v>
      </c>
      <c r="H154" s="66">
        <v>0</v>
      </c>
      <c r="I154" s="66">
        <f t="shared" si="9"/>
        <v>0</v>
      </c>
      <c r="J154" s="66">
        <f t="shared" si="10"/>
        <v>0</v>
      </c>
      <c r="K154" s="12">
        <v>890</v>
      </c>
      <c r="L154" s="66">
        <v>0</v>
      </c>
      <c r="M154" s="66">
        <f t="shared" si="11"/>
        <v>890</v>
      </c>
      <c r="N154" s="67">
        <v>45947</v>
      </c>
      <c r="O154" s="63"/>
      <c r="P154" s="67">
        <f t="shared" si="8"/>
        <v>45951</v>
      </c>
      <c r="Q154" s="68" t="s">
        <v>37</v>
      </c>
      <c r="R154" s="64" t="s">
        <v>37</v>
      </c>
      <c r="S154" s="63"/>
      <c r="T154" s="69"/>
      <c r="U154" s="63"/>
      <c r="V154" s="63"/>
      <c r="W154" s="63"/>
      <c r="X154" s="63"/>
      <c r="Y154" s="63"/>
      <c r="Z154" s="63"/>
      <c r="AA154" s="63"/>
      <c r="AB154" s="63"/>
      <c r="AC154" s="63"/>
      <c r="AD154" s="63"/>
      <c r="AE154" s="63"/>
      <c r="AF154" s="63"/>
      <c r="AG154" s="63"/>
      <c r="AH154" s="70"/>
    </row>
    <row r="155" ht="31.5" hidden="1" customHeight="1" spans="1:34">
      <c r="A155" s="62"/>
      <c r="B155" s="63">
        <f>VLOOKUP(C155,[1]Modelos!$B$2:$C$200,2,FALSE)</f>
        <v>0</v>
      </c>
      <c r="C155" s="64" t="s">
        <v>139</v>
      </c>
      <c r="D155" s="87" t="s">
        <v>39</v>
      </c>
      <c r="E155" s="55" t="s">
        <v>36</v>
      </c>
      <c r="F155" s="10"/>
      <c r="G155" s="66">
        <v>0</v>
      </c>
      <c r="H155" s="66">
        <v>0</v>
      </c>
      <c r="I155" s="66">
        <f t="shared" si="9"/>
        <v>0</v>
      </c>
      <c r="J155" s="66">
        <f t="shared" si="10"/>
        <v>0</v>
      </c>
      <c r="K155" s="12">
        <v>850</v>
      </c>
      <c r="L155" s="66">
        <v>0</v>
      </c>
      <c r="M155" s="66">
        <f t="shared" si="11"/>
        <v>850</v>
      </c>
      <c r="N155" s="67">
        <v>45947</v>
      </c>
      <c r="O155" s="63"/>
      <c r="P155" s="67">
        <f t="shared" si="8"/>
        <v>45951</v>
      </c>
      <c r="Q155" s="68" t="s">
        <v>37</v>
      </c>
      <c r="R155" s="64" t="s">
        <v>37</v>
      </c>
      <c r="S155" s="63"/>
      <c r="T155" s="69"/>
      <c r="U155" s="63"/>
      <c r="V155" s="63"/>
      <c r="W155" s="63"/>
      <c r="X155" s="63"/>
      <c r="Y155" s="63"/>
      <c r="Z155" s="63"/>
      <c r="AA155" s="63"/>
      <c r="AB155" s="63"/>
      <c r="AC155" s="63"/>
      <c r="AD155" s="63"/>
      <c r="AE155" s="63"/>
      <c r="AF155" s="63"/>
      <c r="AG155" s="63"/>
      <c r="AH155" s="70"/>
    </row>
    <row r="156" ht="31.5" customHeight="1" spans="1:34">
      <c r="A156" s="62"/>
      <c r="B156" s="63">
        <f>VLOOKUP(C156,[1]Modelos!$B$2:$C$200,2,FALSE)</f>
        <v>0</v>
      </c>
      <c r="C156" s="64" t="s">
        <v>140</v>
      </c>
      <c r="D156" s="86" t="s">
        <v>50</v>
      </c>
      <c r="E156" s="55" t="s">
        <v>36</v>
      </c>
      <c r="F156" s="10"/>
      <c r="G156" s="66">
        <v>0</v>
      </c>
      <c r="H156" s="66">
        <v>0</v>
      </c>
      <c r="I156" s="66">
        <f t="shared" si="9"/>
        <v>0</v>
      </c>
      <c r="J156" s="66">
        <f t="shared" si="10"/>
        <v>0</v>
      </c>
      <c r="K156" s="12">
        <v>790</v>
      </c>
      <c r="L156" s="66">
        <v>0</v>
      </c>
      <c r="M156" s="66">
        <f t="shared" si="11"/>
        <v>790</v>
      </c>
      <c r="N156" s="67">
        <v>45947</v>
      </c>
      <c r="O156" s="63"/>
      <c r="P156" s="67">
        <f t="shared" si="8"/>
        <v>45951</v>
      </c>
      <c r="Q156" s="68" t="s">
        <v>37</v>
      </c>
      <c r="R156" s="64" t="s">
        <v>37</v>
      </c>
      <c r="S156" s="63"/>
      <c r="T156" s="69"/>
      <c r="U156" s="63" t="s">
        <v>141</v>
      </c>
      <c r="V156" s="63"/>
      <c r="W156" s="63"/>
      <c r="X156" s="63"/>
      <c r="Y156" s="63"/>
      <c r="Z156" s="63"/>
      <c r="AA156" s="63"/>
      <c r="AB156" s="63"/>
      <c r="AC156" s="63"/>
      <c r="AD156" s="63"/>
      <c r="AE156" s="63"/>
      <c r="AF156" s="63"/>
      <c r="AG156" s="63"/>
      <c r="AH156" s="70"/>
    </row>
    <row r="157" ht="31.5" customHeight="1" spans="1:34">
      <c r="A157" s="62"/>
      <c r="B157" s="63">
        <f>VLOOKUP(C157,[1]Modelos!$B$2:$C$200,2,FALSE)</f>
        <v>0</v>
      </c>
      <c r="C157" s="64" t="s">
        <v>142</v>
      </c>
      <c r="D157" s="86" t="s">
        <v>50</v>
      </c>
      <c r="E157" s="55" t="s">
        <v>36</v>
      </c>
      <c r="F157" s="10"/>
      <c r="G157" s="66">
        <v>0</v>
      </c>
      <c r="H157" s="66">
        <v>0</v>
      </c>
      <c r="I157" s="66">
        <f t="shared" si="9"/>
        <v>0</v>
      </c>
      <c r="J157" s="66">
        <f t="shared" si="10"/>
        <v>0</v>
      </c>
      <c r="K157" s="12">
        <v>1390</v>
      </c>
      <c r="L157" s="66">
        <v>0</v>
      </c>
      <c r="M157" s="66">
        <f t="shared" si="11"/>
        <v>1390</v>
      </c>
      <c r="N157" s="67">
        <v>45947</v>
      </c>
      <c r="O157" s="63"/>
      <c r="P157" s="67">
        <f t="shared" si="8"/>
        <v>45951</v>
      </c>
      <c r="Q157" s="68" t="s">
        <v>37</v>
      </c>
      <c r="R157" s="64" t="s">
        <v>37</v>
      </c>
      <c r="S157" s="63"/>
      <c r="T157" s="69"/>
      <c r="U157" s="63" t="s">
        <v>141</v>
      </c>
      <c r="V157" s="63"/>
      <c r="W157" s="63"/>
      <c r="X157" s="63"/>
      <c r="Y157" s="63"/>
      <c r="Z157" s="63"/>
      <c r="AA157" s="63"/>
      <c r="AB157" s="63"/>
      <c r="AC157" s="63"/>
      <c r="AD157" s="63"/>
      <c r="AE157" s="63"/>
      <c r="AF157" s="63"/>
      <c r="AG157" s="63"/>
      <c r="AH157" s="70"/>
    </row>
    <row r="158" ht="31.5" customHeight="1" spans="1:34">
      <c r="A158" s="62"/>
      <c r="B158" s="63">
        <f>VLOOKUP(C158,[1]Modelos!$B$2:$C$200,2,FALSE)</f>
        <v>0</v>
      </c>
      <c r="C158" s="64" t="s">
        <v>143</v>
      </c>
      <c r="D158" s="86" t="s">
        <v>35</v>
      </c>
      <c r="E158" s="55" t="s">
        <v>36</v>
      </c>
      <c r="F158" s="10" t="s">
        <v>5</v>
      </c>
      <c r="G158" s="66">
        <v>0</v>
      </c>
      <c r="H158" s="66">
        <v>0</v>
      </c>
      <c r="I158" s="66">
        <f t="shared" si="9"/>
        <v>0</v>
      </c>
      <c r="J158" s="66">
        <f t="shared" si="10"/>
        <v>0</v>
      </c>
      <c r="K158" s="12">
        <v>780</v>
      </c>
      <c r="L158" s="66">
        <v>0</v>
      </c>
      <c r="M158" s="66">
        <f t="shared" si="11"/>
        <v>780</v>
      </c>
      <c r="N158" s="67">
        <v>45947</v>
      </c>
      <c r="O158" s="63"/>
      <c r="P158" s="67">
        <f t="shared" si="8"/>
        <v>45951</v>
      </c>
      <c r="Q158" s="68" t="s">
        <v>37</v>
      </c>
      <c r="R158" s="64" t="s">
        <v>37</v>
      </c>
      <c r="S158" s="63"/>
      <c r="T158" s="69"/>
      <c r="U158" s="63" t="s">
        <v>141</v>
      </c>
      <c r="V158" s="63"/>
      <c r="W158" s="63"/>
      <c r="X158" s="63"/>
      <c r="Y158" s="63"/>
      <c r="Z158" s="63"/>
      <c r="AA158" s="63"/>
      <c r="AB158" s="63"/>
      <c r="AC158" s="63"/>
      <c r="AD158" s="63"/>
      <c r="AE158" s="63"/>
      <c r="AF158" s="63"/>
      <c r="AG158" s="63"/>
      <c r="AH158" s="70"/>
    </row>
    <row r="159" ht="33.75" customHeight="1" spans="1:34">
      <c r="A159" s="10"/>
      <c r="B159" s="10">
        <f>VLOOKUP(C159,[1]Modelos!$B$2:$C$200,2,FALSE)</f>
        <v>0</v>
      </c>
      <c r="C159" s="10" t="s">
        <v>144</v>
      </c>
      <c r="D159" s="79" t="s">
        <v>65</v>
      </c>
      <c r="E159" s="10" t="s">
        <v>36</v>
      </c>
      <c r="F159" s="10" t="s">
        <v>132</v>
      </c>
      <c r="G159" s="66">
        <v>0</v>
      </c>
      <c r="H159" s="66">
        <v>0</v>
      </c>
      <c r="I159" s="12"/>
      <c r="J159" s="12"/>
      <c r="K159" s="12">
        <v>880</v>
      </c>
      <c r="L159" s="12">
        <f>SUM(L6:L89)</f>
        <v>5350</v>
      </c>
      <c r="M159" s="12">
        <f>SUM(M6:M89)</f>
        <v>24824.25</v>
      </c>
      <c r="N159" s="13"/>
      <c r="O159" s="10"/>
      <c r="P159" s="10"/>
      <c r="Q159" s="14"/>
      <c r="R159" s="10"/>
      <c r="S159" s="10"/>
      <c r="T159" s="15"/>
      <c r="U159" s="10"/>
      <c r="V159" s="10"/>
      <c r="W159" s="10"/>
      <c r="X159" s="10"/>
      <c r="Y159" s="10"/>
      <c r="Z159" s="10"/>
      <c r="AA159" s="10"/>
      <c r="AB159" s="10"/>
      <c r="AC159" s="10"/>
      <c r="AD159" s="10"/>
      <c r="AE159" s="10"/>
      <c r="AF159" s="10"/>
      <c r="AG159" s="10"/>
      <c r="AH159" s="10"/>
    </row>
    <row r="160" ht="33.75" customHeight="1" spans="1:34">
      <c r="A160" s="10"/>
      <c r="B160" s="10">
        <f>VLOOKUP(C160,[1]Modelos!$B$2:$C$200,2,FALSE)</f>
        <v>0</v>
      </c>
      <c r="C160" s="10" t="s">
        <v>145</v>
      </c>
      <c r="D160" s="79" t="s">
        <v>43</v>
      </c>
      <c r="E160" s="10" t="s">
        <v>36</v>
      </c>
      <c r="F160" s="10" t="s">
        <v>5</v>
      </c>
      <c r="G160" s="66">
        <v>0</v>
      </c>
      <c r="H160" s="66">
        <v>0</v>
      </c>
      <c r="I160" s="12"/>
      <c r="J160" s="12"/>
      <c r="K160" s="12">
        <v>780</v>
      </c>
      <c r="L160" s="12">
        <f>SUM(L6:L90)</f>
        <v>5350</v>
      </c>
      <c r="M160" s="12">
        <f>SUM(M6:M90)</f>
        <v>25244.25</v>
      </c>
      <c r="N160" s="13"/>
      <c r="O160" s="10"/>
      <c r="P160" s="10"/>
      <c r="Q160" s="14"/>
      <c r="R160" s="10"/>
      <c r="S160" s="10"/>
      <c r="T160" s="15"/>
      <c r="U160" s="10"/>
      <c r="V160" s="10"/>
      <c r="W160" s="10"/>
      <c r="X160" s="10"/>
      <c r="Y160" s="10"/>
      <c r="Z160" s="10"/>
      <c r="AA160" s="10"/>
      <c r="AB160" s="10"/>
      <c r="AC160" s="10"/>
      <c r="AD160" s="10"/>
      <c r="AE160" s="10"/>
      <c r="AF160" s="10"/>
      <c r="AG160" s="10"/>
      <c r="AH160" s="10"/>
    </row>
    <row r="161" ht="33.75" customHeight="1" spans="1:34">
      <c r="A161" s="10"/>
      <c r="B161" s="10">
        <f>VLOOKUP(C161,[1]Modelos!$B$2:$C$200,2,FALSE)</f>
        <v>0</v>
      </c>
      <c r="C161" s="10" t="s">
        <v>146</v>
      </c>
      <c r="D161" s="79" t="s">
        <v>43</v>
      </c>
      <c r="E161" s="10" t="s">
        <v>36</v>
      </c>
      <c r="F161" s="10"/>
      <c r="G161" s="66">
        <v>0</v>
      </c>
      <c r="H161" s="66">
        <v>0</v>
      </c>
      <c r="I161" s="12"/>
      <c r="J161" s="12"/>
      <c r="K161" s="12">
        <v>890</v>
      </c>
      <c r="L161" s="12">
        <f>SUM(L6:L90)</f>
        <v>5350</v>
      </c>
      <c r="M161" s="12">
        <f>SUM(M6:M90)</f>
        <v>25244.25</v>
      </c>
      <c r="N161" s="13"/>
      <c r="O161" s="10"/>
      <c r="P161" s="10"/>
      <c r="Q161" s="14"/>
      <c r="R161" s="10"/>
      <c r="S161" s="10"/>
      <c r="T161" s="15"/>
      <c r="U161" s="10"/>
      <c r="V161" s="10"/>
      <c r="W161" s="10"/>
      <c r="X161" s="10"/>
      <c r="Y161" s="10"/>
      <c r="Z161" s="10"/>
      <c r="AA161" s="10"/>
      <c r="AB161" s="10"/>
      <c r="AC161" s="10"/>
      <c r="AD161" s="10"/>
      <c r="AE161" s="10"/>
      <c r="AF161" s="10"/>
      <c r="AG161" s="10"/>
      <c r="AH161" s="10"/>
    </row>
    <row r="162" ht="33.75" customHeight="1" spans="1:34">
      <c r="A162" s="51"/>
      <c r="B162" s="52">
        <f>VLOOKUP(C162,[1]Modelos!$B$2:$C$200,2,FALSE)</f>
        <v>0</v>
      </c>
      <c r="C162" s="53" t="s">
        <v>146</v>
      </c>
      <c r="D162" s="85" t="s">
        <v>43</v>
      </c>
      <c r="E162" s="55" t="s">
        <v>36</v>
      </c>
      <c r="F162" s="10"/>
      <c r="G162" s="72">
        <v>0</v>
      </c>
      <c r="H162" s="72">
        <v>0</v>
      </c>
      <c r="I162" s="57"/>
      <c r="J162" s="57"/>
      <c r="K162" s="56">
        <v>890</v>
      </c>
      <c r="L162" s="56">
        <f>SUM(L6:L90)</f>
        <v>5350</v>
      </c>
      <c r="M162" s="56">
        <f>SUM(M6:M90)</f>
        <v>25244.25</v>
      </c>
      <c r="N162" s="58"/>
      <c r="O162" s="52"/>
      <c r="P162" s="52"/>
      <c r="Q162" s="52"/>
      <c r="R162" s="52"/>
      <c r="S162" s="52"/>
      <c r="T162" s="60"/>
      <c r="U162" s="52"/>
      <c r="V162" s="52"/>
      <c r="W162" s="52"/>
      <c r="X162" s="52"/>
      <c r="Y162" s="52"/>
      <c r="Z162" s="52"/>
      <c r="AA162" s="52"/>
      <c r="AB162" s="52"/>
      <c r="AC162" s="52"/>
      <c r="AD162" s="52"/>
      <c r="AE162" s="52"/>
      <c r="AF162" s="52"/>
      <c r="AG162" s="52"/>
      <c r="AH162" s="61"/>
    </row>
    <row r="163" ht="33.75" customHeight="1" spans="1:34">
      <c r="A163" s="51"/>
      <c r="B163" s="52">
        <f>VLOOKUP(C163,[1]Modelos!$B$2:$C$200,2,FALSE)</f>
        <v>0</v>
      </c>
      <c r="C163" s="53" t="s">
        <v>146</v>
      </c>
      <c r="D163" s="85" t="s">
        <v>52</v>
      </c>
      <c r="E163" s="55" t="s">
        <v>36</v>
      </c>
      <c r="F163" s="10"/>
      <c r="G163" s="72">
        <v>0</v>
      </c>
      <c r="H163" s="72">
        <v>0</v>
      </c>
      <c r="I163" s="57"/>
      <c r="J163" s="57"/>
      <c r="K163" s="56">
        <v>890</v>
      </c>
      <c r="L163" s="56">
        <f>SUM(L6:L90)</f>
        <v>5350</v>
      </c>
      <c r="M163" s="56">
        <f>SUM(M6:M90)</f>
        <v>25244.25</v>
      </c>
      <c r="N163" s="58"/>
      <c r="O163" s="52"/>
      <c r="P163" s="52"/>
      <c r="Q163" s="52"/>
      <c r="R163" s="52"/>
      <c r="S163" s="52"/>
      <c r="T163" s="60"/>
      <c r="U163" s="52"/>
      <c r="V163" s="52"/>
      <c r="W163" s="52"/>
      <c r="X163" s="52"/>
      <c r="Y163" s="52"/>
      <c r="Z163" s="52"/>
      <c r="AA163" s="52"/>
      <c r="AB163" s="52"/>
      <c r="AC163" s="52"/>
      <c r="AD163" s="52"/>
      <c r="AE163" s="52"/>
      <c r="AF163" s="52"/>
      <c r="AG163" s="52"/>
      <c r="AH163" s="61"/>
    </row>
    <row r="164" ht="33.75" customHeight="1" spans="1:34">
      <c r="A164" s="51"/>
      <c r="B164" s="52">
        <f>VLOOKUP(C164,[1]Modelos!$B$2:$C$200,2,FALSE)</f>
        <v>0</v>
      </c>
      <c r="C164" s="53" t="s">
        <v>146</v>
      </c>
      <c r="D164" s="85" t="s">
        <v>52</v>
      </c>
      <c r="E164" s="55" t="s">
        <v>36</v>
      </c>
      <c r="F164" s="10"/>
      <c r="G164" s="72">
        <v>0</v>
      </c>
      <c r="H164" s="72">
        <v>0</v>
      </c>
      <c r="I164" s="57"/>
      <c r="J164" s="57"/>
      <c r="K164" s="56">
        <v>890</v>
      </c>
      <c r="L164" s="56">
        <f>SUM(L6:L91)</f>
        <v>5350</v>
      </c>
      <c r="M164" s="56">
        <f>SUM(M6:M91)</f>
        <v>26024.25</v>
      </c>
      <c r="N164" s="58"/>
      <c r="O164" s="52"/>
      <c r="P164" s="52"/>
      <c r="Q164" s="52"/>
      <c r="R164" s="52"/>
      <c r="S164" s="52"/>
      <c r="T164" s="60"/>
      <c r="U164" s="52"/>
      <c r="V164" s="52"/>
      <c r="W164" s="52"/>
      <c r="X164" s="52"/>
      <c r="Y164" s="52"/>
      <c r="Z164" s="52"/>
      <c r="AA164" s="52"/>
      <c r="AB164" s="52"/>
      <c r="AC164" s="52"/>
      <c r="AD164" s="52"/>
      <c r="AE164" s="52"/>
      <c r="AF164" s="52"/>
      <c r="AG164" s="52"/>
      <c r="AH164" s="61"/>
    </row>
    <row r="165" ht="33.75" customHeight="1" spans="1:34">
      <c r="A165" s="48"/>
      <c r="B165" s="48">
        <f>VLOOKUP(C165,[1]Modelos!$B$2:$C$200,2,FALSE)</f>
        <v>0</v>
      </c>
      <c r="C165" s="43" t="s">
        <v>147</v>
      </c>
      <c r="D165" s="85" t="s">
        <v>43</v>
      </c>
      <c r="E165" s="55" t="s">
        <v>36</v>
      </c>
      <c r="F165" s="10" t="s">
        <v>5</v>
      </c>
      <c r="G165" s="72">
        <v>0</v>
      </c>
      <c r="H165" s="72">
        <v>0</v>
      </c>
      <c r="I165" s="57"/>
      <c r="J165" s="57"/>
      <c r="K165" s="56">
        <v>880</v>
      </c>
      <c r="L165" s="45">
        <f>SUM(L6:L90)</f>
        <v>5350</v>
      </c>
      <c r="M165" s="45">
        <f>SUM(M6:M90)</f>
        <v>25244.25</v>
      </c>
      <c r="N165" s="73"/>
      <c r="O165" s="48"/>
      <c r="P165" s="48"/>
      <c r="Q165" s="48"/>
      <c r="R165" s="48"/>
      <c r="S165" s="48"/>
      <c r="T165" s="74"/>
      <c r="U165" s="48"/>
      <c r="V165" s="48"/>
      <c r="W165" s="48"/>
      <c r="X165" s="48"/>
      <c r="Y165" s="48"/>
      <c r="Z165" s="48"/>
      <c r="AA165" s="48"/>
      <c r="AB165" s="48"/>
      <c r="AC165" s="48"/>
      <c r="AD165" s="48"/>
      <c r="AE165" s="48"/>
      <c r="AF165" s="48"/>
      <c r="AG165" s="48"/>
      <c r="AH165" s="48"/>
    </row>
    <row r="166" ht="33.75" customHeight="1" spans="1:34">
      <c r="A166" s="48"/>
      <c r="B166" s="48">
        <f>VLOOKUP(C166,[1]Modelos!$B$2:$C$200,2,FALSE)</f>
        <v>0</v>
      </c>
      <c r="C166" s="43" t="s">
        <v>148</v>
      </c>
      <c r="D166" s="85" t="s">
        <v>43</v>
      </c>
      <c r="E166" s="55" t="s">
        <v>36</v>
      </c>
      <c r="F166" s="10" t="s">
        <v>132</v>
      </c>
      <c r="G166" s="72">
        <v>0</v>
      </c>
      <c r="H166" s="72">
        <v>0</v>
      </c>
      <c r="I166" s="57"/>
      <c r="J166" s="57"/>
      <c r="K166" s="56">
        <v>880</v>
      </c>
      <c r="L166" s="45">
        <f>SUM(L6:L91)</f>
        <v>5350</v>
      </c>
      <c r="M166" s="45">
        <f>SUM(M6:M91)</f>
        <v>26024.25</v>
      </c>
      <c r="N166" s="73"/>
      <c r="O166" s="48"/>
      <c r="P166" s="48"/>
      <c r="Q166" s="48"/>
      <c r="R166" s="48"/>
      <c r="S166" s="48"/>
      <c r="T166" s="74"/>
      <c r="U166" s="48"/>
      <c r="V166" s="48"/>
      <c r="W166" s="48"/>
      <c r="X166" s="48"/>
      <c r="Y166" s="48"/>
      <c r="Z166" s="48"/>
      <c r="AA166" s="48"/>
      <c r="AB166" s="48"/>
      <c r="AC166" s="48"/>
      <c r="AD166" s="48"/>
      <c r="AE166" s="48"/>
      <c r="AF166" s="48"/>
      <c r="AG166" s="48"/>
      <c r="AH166" s="48"/>
    </row>
    <row r="167" ht="33.75" customHeight="1" spans="1:34">
      <c r="A167" s="48"/>
      <c r="B167" s="48">
        <f>VLOOKUP(C167,[1]Modelos!$B$2:$C$200,2,FALSE)</f>
        <v>0</v>
      </c>
      <c r="C167" s="43" t="s">
        <v>149</v>
      </c>
      <c r="D167" s="85" t="s">
        <v>52</v>
      </c>
      <c r="E167" s="55" t="s">
        <v>36</v>
      </c>
      <c r="F167" s="10"/>
      <c r="G167" s="72">
        <v>0</v>
      </c>
      <c r="H167" s="72">
        <v>0</v>
      </c>
      <c r="I167" s="57"/>
      <c r="J167" s="57"/>
      <c r="K167" s="56">
        <v>780</v>
      </c>
      <c r="L167" s="45">
        <f>SUM(L6:L91)</f>
        <v>5350</v>
      </c>
      <c r="M167" s="45">
        <f>SUM(M6:M91)</f>
        <v>26024.25</v>
      </c>
      <c r="N167" s="73"/>
      <c r="O167" s="48"/>
      <c r="P167" s="48"/>
      <c r="Q167" s="48"/>
      <c r="R167" s="48"/>
      <c r="S167" s="48"/>
      <c r="T167" s="74"/>
      <c r="U167" s="48"/>
      <c r="V167" s="48"/>
      <c r="W167" s="48"/>
      <c r="X167" s="48"/>
      <c r="Y167" s="48"/>
      <c r="Z167" s="48"/>
      <c r="AA167" s="48"/>
      <c r="AB167" s="48"/>
      <c r="AC167" s="48"/>
      <c r="AD167" s="48"/>
      <c r="AE167" s="48"/>
      <c r="AF167" s="48"/>
      <c r="AG167" s="48"/>
      <c r="AH167" s="48"/>
    </row>
    <row r="168" ht="33.75" customHeight="1" spans="1:34">
      <c r="A168" s="48"/>
      <c r="B168" s="48">
        <f>VLOOKUP(C168,[1]Modelos!$B$2:$C$200,2,FALSE)</f>
        <v>0</v>
      </c>
      <c r="C168" s="43" t="s">
        <v>149</v>
      </c>
      <c r="D168" s="85" t="s">
        <v>43</v>
      </c>
      <c r="E168" s="55" t="s">
        <v>36</v>
      </c>
      <c r="F168" s="10" t="s">
        <v>132</v>
      </c>
      <c r="G168" s="72">
        <v>0</v>
      </c>
      <c r="H168" s="72">
        <v>0</v>
      </c>
      <c r="I168" s="57"/>
      <c r="J168" s="57"/>
      <c r="K168" s="56">
        <v>780</v>
      </c>
      <c r="L168" s="45">
        <f>SUM(L6:L91)</f>
        <v>5350</v>
      </c>
      <c r="M168" s="45">
        <f>SUM(M6:M91)</f>
        <v>26024.25</v>
      </c>
      <c r="N168" s="73"/>
      <c r="O168" s="48"/>
      <c r="P168" s="48"/>
      <c r="Q168" s="48"/>
      <c r="R168" s="48"/>
      <c r="S168" s="48"/>
      <c r="T168" s="74"/>
      <c r="U168" s="48"/>
      <c r="V168" s="48"/>
      <c r="W168" s="48"/>
      <c r="X168" s="48"/>
      <c r="Y168" s="48"/>
      <c r="Z168" s="48"/>
      <c r="AA168" s="48"/>
      <c r="AB168" s="48"/>
      <c r="AC168" s="48"/>
      <c r="AD168" s="48"/>
      <c r="AE168" s="48"/>
      <c r="AF168" s="48"/>
      <c r="AG168" s="48"/>
      <c r="AH168" s="48"/>
    </row>
    <row r="169" ht="33.75" customHeight="1" spans="1:34">
      <c r="A169" s="48"/>
      <c r="B169" s="48">
        <f>VLOOKUP(C169,[1]Modelos!$B$2:$C$200,2,FALSE)</f>
        <v>0</v>
      </c>
      <c r="C169" s="43" t="s">
        <v>150</v>
      </c>
      <c r="D169" s="85" t="s">
        <v>43</v>
      </c>
      <c r="E169" s="55" t="s">
        <v>36</v>
      </c>
      <c r="F169" s="10" t="s">
        <v>132</v>
      </c>
      <c r="G169" s="72">
        <v>0</v>
      </c>
      <c r="H169" s="72">
        <v>0</v>
      </c>
      <c r="I169" s="57"/>
      <c r="J169" s="57"/>
      <c r="K169" s="56">
        <v>680</v>
      </c>
      <c r="L169" s="45">
        <f>SUM(L6:L91)</f>
        <v>5350</v>
      </c>
      <c r="M169" s="45">
        <f>SUM(M6:M91)</f>
        <v>26024.25</v>
      </c>
      <c r="N169" s="73"/>
      <c r="O169" s="48"/>
      <c r="P169" s="48"/>
      <c r="Q169" s="48"/>
      <c r="R169" s="48"/>
      <c r="S169" s="48"/>
      <c r="T169" s="74"/>
      <c r="U169" s="48"/>
      <c r="V169" s="48"/>
      <c r="W169" s="48"/>
      <c r="X169" s="48"/>
      <c r="Y169" s="48"/>
      <c r="Z169" s="48"/>
      <c r="AA169" s="48"/>
      <c r="AB169" s="48"/>
      <c r="AC169" s="48"/>
      <c r="AD169" s="48"/>
      <c r="AE169" s="48"/>
      <c r="AF169" s="48"/>
      <c r="AG169" s="48"/>
      <c r="AH169" s="48"/>
    </row>
    <row r="170" ht="33.75" customHeight="1" spans="1:34">
      <c r="A170" s="48"/>
      <c r="B170" s="48">
        <f>VLOOKUP(C170,[1]Modelos!$B$2:$C$200,2,FALSE)</f>
        <v>0</v>
      </c>
      <c r="C170" s="43" t="s">
        <v>150</v>
      </c>
      <c r="D170" s="85" t="s">
        <v>63</v>
      </c>
      <c r="E170" s="55" t="s">
        <v>36</v>
      </c>
      <c r="F170" s="10" t="s">
        <v>132</v>
      </c>
      <c r="G170" s="72">
        <v>0</v>
      </c>
      <c r="H170" s="72">
        <v>0</v>
      </c>
      <c r="I170" s="57"/>
      <c r="J170" s="57"/>
      <c r="K170" s="56">
        <v>680</v>
      </c>
      <c r="L170" s="45">
        <f>SUM(L7:L91)</f>
        <v>5350</v>
      </c>
      <c r="M170" s="45">
        <f>SUM(M7:M91)</f>
        <v>25714.25</v>
      </c>
      <c r="N170" s="73"/>
      <c r="O170" s="48"/>
      <c r="P170" s="48"/>
      <c r="Q170" s="48"/>
      <c r="R170" s="48"/>
      <c r="S170" s="48"/>
      <c r="T170" s="74"/>
      <c r="U170" s="48"/>
      <c r="V170" s="48"/>
      <c r="W170" s="48"/>
      <c r="X170" s="48"/>
      <c r="Y170" s="48"/>
      <c r="Z170" s="48"/>
      <c r="AA170" s="48"/>
      <c r="AB170" s="48"/>
      <c r="AC170" s="48"/>
      <c r="AD170" s="48"/>
      <c r="AE170" s="48"/>
      <c r="AF170" s="48"/>
      <c r="AG170" s="48"/>
      <c r="AH170" s="48"/>
    </row>
    <row r="171" ht="33.75" customHeight="1" spans="1:34">
      <c r="A171" s="48"/>
      <c r="B171" s="48">
        <f>VLOOKUP(C171,[1]Modelos!$B$2:$C$200,2,FALSE)</f>
        <v>0</v>
      </c>
      <c r="C171" s="43" t="s">
        <v>151</v>
      </c>
      <c r="D171" s="85" t="s">
        <v>43</v>
      </c>
      <c r="E171" s="55" t="s">
        <v>36</v>
      </c>
      <c r="F171" s="10"/>
      <c r="G171" s="72">
        <v>0</v>
      </c>
      <c r="H171" s="72">
        <v>0</v>
      </c>
      <c r="I171" s="57"/>
      <c r="J171" s="57"/>
      <c r="K171" s="56">
        <v>880</v>
      </c>
      <c r="L171" s="45">
        <f t="shared" ref="L171:L173" si="12">SUM(L7:L91)</f>
        <v>5350</v>
      </c>
      <c r="M171" s="45">
        <f t="shared" ref="M171:M173" si="13">SUM(M7:M91)</f>
        <v>25714.25</v>
      </c>
      <c r="N171" s="73"/>
      <c r="O171" s="48"/>
      <c r="P171" s="48"/>
      <c r="Q171" s="48"/>
      <c r="R171" s="48"/>
      <c r="S171" s="48"/>
      <c r="T171" s="74"/>
      <c r="U171" s="48"/>
      <c r="V171" s="48"/>
      <c r="W171" s="48"/>
      <c r="X171" s="48"/>
      <c r="Y171" s="48"/>
      <c r="Z171" s="48"/>
      <c r="AA171" s="48"/>
      <c r="AB171" s="48"/>
      <c r="AC171" s="48"/>
      <c r="AD171" s="48"/>
      <c r="AE171" s="48"/>
      <c r="AF171" s="48"/>
      <c r="AG171" s="48"/>
      <c r="AH171" s="48"/>
    </row>
    <row r="172" ht="33.75" customHeight="1" spans="1:34">
      <c r="A172" s="48"/>
      <c r="B172" s="48">
        <f>VLOOKUP(C172,[1]Modelos!$B$2:$C$200,2,FALSE)</f>
        <v>0</v>
      </c>
      <c r="C172" s="43" t="s">
        <v>152</v>
      </c>
      <c r="D172" s="85" t="s">
        <v>43</v>
      </c>
      <c r="E172" s="55" t="s">
        <v>36</v>
      </c>
      <c r="F172" s="10" t="s">
        <v>132</v>
      </c>
      <c r="G172" s="72">
        <v>0</v>
      </c>
      <c r="H172" s="72">
        <v>0</v>
      </c>
      <c r="I172" s="57"/>
      <c r="J172" s="57"/>
      <c r="K172" s="56">
        <v>680</v>
      </c>
      <c r="L172" s="45">
        <f t="shared" si="12"/>
        <v>5350</v>
      </c>
      <c r="M172" s="45">
        <f t="shared" si="13"/>
        <v>26284.25</v>
      </c>
      <c r="N172" s="73"/>
      <c r="O172" s="48"/>
      <c r="P172" s="48"/>
      <c r="Q172" s="48"/>
      <c r="R172" s="48"/>
      <c r="S172" s="48"/>
      <c r="T172" s="74"/>
      <c r="U172" s="48"/>
      <c r="V172" s="48"/>
      <c r="W172" s="48"/>
      <c r="X172" s="48"/>
      <c r="Y172" s="48"/>
      <c r="Z172" s="48"/>
      <c r="AA172" s="48"/>
      <c r="AB172" s="48"/>
      <c r="AC172" s="48"/>
      <c r="AD172" s="48"/>
      <c r="AE172" s="48"/>
      <c r="AF172" s="48"/>
      <c r="AG172" s="48"/>
      <c r="AH172" s="48"/>
    </row>
    <row r="173" ht="33.75" customHeight="1" spans="1:34">
      <c r="A173" s="48"/>
      <c r="B173" s="48">
        <f>VLOOKUP(C173,[1]Modelos!$B$2:$C$200,2,FALSE)</f>
        <v>0</v>
      </c>
      <c r="C173" s="43" t="s">
        <v>153</v>
      </c>
      <c r="D173" s="85" t="s">
        <v>43</v>
      </c>
      <c r="E173" s="55" t="s">
        <v>36</v>
      </c>
      <c r="F173" s="10" t="s">
        <v>132</v>
      </c>
      <c r="G173" s="72">
        <v>0</v>
      </c>
      <c r="H173" s="72">
        <v>0</v>
      </c>
      <c r="I173" s="57"/>
      <c r="J173" s="57"/>
      <c r="K173" s="56">
        <v>780</v>
      </c>
      <c r="L173" s="45">
        <f t="shared" si="12"/>
        <v>5350</v>
      </c>
      <c r="M173" s="45">
        <f t="shared" si="13"/>
        <v>26693.27</v>
      </c>
      <c r="N173" s="73"/>
      <c r="O173" s="48"/>
      <c r="P173" s="48"/>
      <c r="Q173" s="48"/>
      <c r="R173" s="48"/>
      <c r="S173" s="48"/>
      <c r="T173" s="74"/>
      <c r="U173" s="48"/>
      <c r="V173" s="48"/>
      <c r="W173" s="48"/>
      <c r="X173" s="48"/>
      <c r="Y173" s="48"/>
      <c r="Z173" s="48"/>
      <c r="AA173" s="48"/>
      <c r="AB173" s="48"/>
      <c r="AC173" s="48"/>
      <c r="AD173" s="48"/>
      <c r="AE173" s="48"/>
      <c r="AF173" s="48"/>
      <c r="AG173" s="48"/>
      <c r="AH173" s="48"/>
    </row>
    <row r="175" ht="15" spans="1:34">
      <c r="A175" s="75"/>
      <c r="F175" s="76"/>
      <c r="G175" s="76"/>
      <c r="H175" s="76"/>
      <c r="I175" s="76"/>
      <c r="J175" s="76"/>
      <c r="K175" s="76"/>
      <c r="L175" s="76"/>
      <c r="M175" s="76"/>
      <c r="N175" s="77"/>
      <c r="Q175" s="78"/>
    </row>
    <row r="176" ht="15" spans="1:34">
      <c r="A176" s="75"/>
      <c r="F176" s="76"/>
      <c r="G176" s="76"/>
      <c r="H176" s="76"/>
      <c r="I176" s="76"/>
      <c r="J176" s="76"/>
      <c r="K176" s="76"/>
      <c r="L176" s="76"/>
      <c r="M176" s="76"/>
      <c r="N176" s="77"/>
      <c r="Q176" s="78"/>
    </row>
    <row r="177" ht="15" spans="1:17">
      <c r="A177" s="75"/>
      <c r="F177" s="76"/>
      <c r="G177" s="76"/>
      <c r="H177" s="76"/>
      <c r="I177" s="76"/>
      <c r="J177" s="76"/>
      <c r="K177" s="76"/>
      <c r="L177" s="76"/>
      <c r="M177" s="76"/>
      <c r="N177" s="77"/>
      <c r="Q177" s="78"/>
    </row>
    <row r="178" ht="15" spans="1:17">
      <c r="A178" s="75"/>
      <c r="F178" s="76"/>
      <c r="G178" s="76"/>
      <c r="H178" s="76"/>
      <c r="I178" s="76"/>
      <c r="J178" s="76"/>
      <c r="K178" s="76"/>
      <c r="L178" s="76"/>
      <c r="M178" s="76"/>
      <c r="N178" s="77"/>
      <c r="Q178" s="78"/>
    </row>
    <row r="179" ht="15" spans="1:17">
      <c r="A179" s="75"/>
      <c r="F179" s="76"/>
      <c r="G179" s="76"/>
      <c r="H179" s="76"/>
      <c r="I179" s="76"/>
      <c r="J179" s="76"/>
      <c r="K179" s="76"/>
      <c r="L179" s="76"/>
      <c r="M179" s="76"/>
      <c r="N179" s="77"/>
      <c r="Q179" s="78"/>
    </row>
    <row r="180" ht="15" spans="1:17">
      <c r="A180" s="75"/>
      <c r="F180" s="76"/>
      <c r="G180" s="76"/>
      <c r="H180" s="76"/>
      <c r="I180" s="76"/>
      <c r="J180" s="76"/>
      <c r="K180" s="76"/>
      <c r="L180" s="76"/>
      <c r="M180" s="76"/>
      <c r="N180" s="77"/>
      <c r="Q180" s="78"/>
    </row>
    <row r="181" ht="15" spans="1:17">
      <c r="A181" s="75"/>
      <c r="F181" s="76"/>
      <c r="G181" s="76"/>
      <c r="H181" s="76"/>
      <c r="I181" s="76"/>
      <c r="J181" s="76"/>
      <c r="K181" s="76"/>
      <c r="L181" s="76"/>
      <c r="M181" s="76"/>
      <c r="N181" s="77"/>
      <c r="Q181" s="78"/>
    </row>
    <row r="182" ht="15" spans="1:17">
      <c r="A182" s="75"/>
      <c r="F182" s="76"/>
      <c r="G182" s="76"/>
      <c r="H182" s="76"/>
      <c r="I182" s="76"/>
      <c r="J182" s="76"/>
      <c r="K182" s="76"/>
      <c r="L182" s="76"/>
      <c r="M182" s="76"/>
      <c r="N182" s="77"/>
      <c r="Q182" s="78"/>
    </row>
    <row r="183" ht="15" spans="1:17">
      <c r="A183" s="75"/>
      <c r="F183" s="76"/>
      <c r="G183" s="76"/>
      <c r="H183" s="76"/>
      <c r="I183" s="76"/>
      <c r="J183" s="76"/>
      <c r="K183" s="76"/>
      <c r="L183" s="76"/>
      <c r="M183" s="76"/>
      <c r="N183" s="77"/>
      <c r="Q183" s="78"/>
    </row>
    <row r="184" ht="15" spans="1:17">
      <c r="A184" s="75"/>
      <c r="F184" s="76"/>
      <c r="G184" s="76"/>
      <c r="H184" s="76"/>
      <c r="I184" s="76"/>
      <c r="J184" s="76"/>
      <c r="K184" s="76"/>
      <c r="L184" s="76"/>
      <c r="M184" s="76"/>
      <c r="N184" s="77"/>
      <c r="Q184" s="78"/>
    </row>
    <row r="185" ht="15" spans="1:17">
      <c r="A185" s="75"/>
      <c r="F185" s="76"/>
      <c r="G185" s="76"/>
      <c r="H185" s="76"/>
      <c r="I185" s="76"/>
      <c r="J185" s="76"/>
      <c r="K185" s="76"/>
      <c r="L185" s="76"/>
      <c r="M185" s="76"/>
      <c r="N185" s="77"/>
      <c r="Q185" s="78"/>
    </row>
    <row r="186" ht="15" spans="1:17">
      <c r="A186" s="75"/>
      <c r="F186" s="76"/>
      <c r="G186" s="76"/>
      <c r="H186" s="76"/>
      <c r="I186" s="76"/>
      <c r="J186" s="76"/>
      <c r="K186" s="76"/>
      <c r="L186" s="76"/>
      <c r="M186" s="76"/>
      <c r="N186" s="77"/>
      <c r="Q186" s="78"/>
    </row>
    <row r="187" ht="15" spans="1:17">
      <c r="A187" s="75"/>
      <c r="F187" s="76"/>
      <c r="G187" s="76"/>
      <c r="H187" s="76"/>
      <c r="I187" s="76"/>
      <c r="J187" s="76"/>
      <c r="K187" s="76"/>
      <c r="L187" s="76"/>
      <c r="M187" s="76"/>
      <c r="N187" s="77"/>
      <c r="Q187" s="78"/>
    </row>
    <row r="188" ht="15" spans="1:17">
      <c r="A188" s="75"/>
      <c r="F188" s="76"/>
      <c r="G188" s="76"/>
      <c r="H188" s="76"/>
      <c r="I188" s="76"/>
      <c r="J188" s="76"/>
      <c r="K188" s="76"/>
      <c r="L188" s="76"/>
      <c r="M188" s="76"/>
      <c r="N188" s="77"/>
      <c r="Q188" s="78"/>
    </row>
    <row r="189" ht="15" spans="1:17">
      <c r="A189" s="75"/>
      <c r="F189" s="76"/>
      <c r="G189" s="76"/>
      <c r="H189" s="76"/>
      <c r="I189" s="76"/>
      <c r="J189" s="76"/>
      <c r="K189" s="76"/>
      <c r="L189" s="76"/>
      <c r="M189" s="76"/>
      <c r="N189" s="77"/>
      <c r="Q189" s="78"/>
    </row>
    <row r="190" ht="15" spans="1:17">
      <c r="A190" s="75"/>
      <c r="F190" s="76"/>
      <c r="G190" s="76"/>
      <c r="H190" s="76"/>
      <c r="I190" s="76"/>
      <c r="J190" s="76"/>
      <c r="K190" s="76"/>
      <c r="L190" s="76"/>
      <c r="M190" s="76"/>
      <c r="N190" s="77"/>
      <c r="Q190" s="78"/>
    </row>
    <row r="191" ht="15" spans="1:17">
      <c r="A191" s="75"/>
      <c r="F191" s="76"/>
      <c r="G191" s="76"/>
      <c r="H191" s="76"/>
      <c r="I191" s="76"/>
      <c r="J191" s="76"/>
      <c r="K191" s="76"/>
      <c r="L191" s="76"/>
      <c r="M191" s="76"/>
      <c r="N191" s="77"/>
      <c r="Q191" s="78"/>
    </row>
    <row r="192" ht="15" spans="1:17">
      <c r="A192" s="75"/>
      <c r="F192" s="76"/>
      <c r="G192" s="76"/>
      <c r="H192" s="76"/>
      <c r="I192" s="76"/>
      <c r="J192" s="76"/>
      <c r="K192" s="76"/>
      <c r="L192" s="76"/>
      <c r="M192" s="76"/>
      <c r="N192" s="77"/>
      <c r="Q192" s="78"/>
    </row>
    <row r="193" ht="15" spans="1:17">
      <c r="A193" s="75"/>
      <c r="F193" s="76"/>
      <c r="G193" s="76"/>
      <c r="H193" s="76"/>
      <c r="I193" s="76"/>
      <c r="J193" s="76"/>
      <c r="K193" s="76"/>
      <c r="L193" s="76"/>
      <c r="M193" s="76"/>
      <c r="N193" s="77"/>
      <c r="Q193" s="78"/>
    </row>
    <row r="194" ht="15" spans="1:17">
      <c r="A194" s="75"/>
      <c r="F194" s="76"/>
      <c r="G194" s="76"/>
      <c r="H194" s="76"/>
      <c r="I194" s="76"/>
      <c r="J194" s="76"/>
      <c r="K194" s="76"/>
      <c r="L194" s="76"/>
      <c r="M194" s="76"/>
      <c r="N194" s="77"/>
      <c r="Q194" s="78"/>
    </row>
    <row r="195" ht="15" spans="1:17">
      <c r="A195" s="75"/>
      <c r="F195" s="76"/>
      <c r="G195" s="76"/>
      <c r="H195" s="76"/>
      <c r="I195" s="76"/>
      <c r="J195" s="76"/>
      <c r="K195" s="76"/>
      <c r="L195" s="76"/>
      <c r="M195" s="76"/>
      <c r="N195" s="77"/>
      <c r="Q195" s="78"/>
    </row>
    <row r="196" ht="15" spans="1:17">
      <c r="A196" s="75"/>
      <c r="F196" s="76"/>
      <c r="G196" s="76"/>
      <c r="H196" s="76"/>
      <c r="I196" s="76"/>
      <c r="J196" s="76"/>
      <c r="K196" s="76"/>
      <c r="L196" s="76"/>
      <c r="M196" s="76"/>
      <c r="N196" s="77"/>
      <c r="Q196" s="78"/>
    </row>
    <row r="197" ht="15" spans="1:17">
      <c r="A197" s="75"/>
      <c r="F197" s="76"/>
      <c r="G197" s="76"/>
      <c r="H197" s="76"/>
      <c r="I197" s="76"/>
      <c r="J197" s="76"/>
      <c r="K197" s="76"/>
      <c r="L197" s="76"/>
      <c r="M197" s="76"/>
      <c r="N197" s="77"/>
      <c r="Q197" s="78"/>
    </row>
    <row r="198" ht="15" spans="1:17">
      <c r="A198" s="75"/>
      <c r="F198" s="76"/>
      <c r="G198" s="76"/>
      <c r="H198" s="76"/>
      <c r="I198" s="76"/>
      <c r="J198" s="76"/>
      <c r="K198" s="76"/>
      <c r="L198" s="76"/>
      <c r="M198" s="76"/>
      <c r="N198" s="77"/>
      <c r="Q198" s="78"/>
    </row>
    <row r="199" ht="15" spans="1:17">
      <c r="A199" s="75"/>
      <c r="F199" s="76"/>
      <c r="G199" s="76"/>
      <c r="H199" s="76"/>
      <c r="I199" s="76"/>
      <c r="J199" s="76"/>
      <c r="K199" s="76"/>
      <c r="L199" s="76"/>
      <c r="M199" s="76"/>
      <c r="N199" s="77"/>
      <c r="Q199" s="78"/>
    </row>
    <row r="200" ht="15" spans="1:17">
      <c r="A200" s="75"/>
      <c r="F200" s="76"/>
      <c r="G200" s="76"/>
      <c r="H200" s="76"/>
      <c r="I200" s="76"/>
      <c r="J200" s="76"/>
      <c r="K200" s="76"/>
      <c r="L200" s="76"/>
      <c r="M200" s="76"/>
      <c r="N200" s="77"/>
      <c r="Q200" s="78"/>
    </row>
    <row r="201" ht="15" spans="1:17">
      <c r="A201" s="75"/>
      <c r="F201" s="76"/>
      <c r="G201" s="76"/>
      <c r="H201" s="76"/>
      <c r="I201" s="76"/>
      <c r="J201" s="76"/>
      <c r="K201" s="76"/>
      <c r="L201" s="76"/>
      <c r="M201" s="76"/>
      <c r="N201" s="77"/>
      <c r="Q201" s="78"/>
    </row>
    <row r="202" ht="15" spans="1:17">
      <c r="A202" s="75"/>
      <c r="F202" s="76"/>
      <c r="G202" s="76"/>
      <c r="H202" s="76"/>
      <c r="I202" s="76"/>
      <c r="J202" s="76"/>
      <c r="K202" s="76"/>
      <c r="L202" s="76"/>
      <c r="M202" s="76"/>
      <c r="N202" s="77"/>
      <c r="Q202" s="78"/>
    </row>
    <row r="203" ht="15" spans="1:17">
      <c r="A203" s="75"/>
      <c r="F203" s="76"/>
      <c r="G203" s="76"/>
      <c r="H203" s="76"/>
      <c r="I203" s="76"/>
      <c r="J203" s="76"/>
      <c r="K203" s="76"/>
      <c r="L203" s="76"/>
      <c r="M203" s="76"/>
      <c r="N203" s="77"/>
      <c r="Q203" s="78"/>
    </row>
    <row r="204" ht="15" spans="1:17">
      <c r="A204" s="75"/>
      <c r="F204" s="76"/>
      <c r="G204" s="76"/>
      <c r="H204" s="76"/>
      <c r="I204" s="76"/>
      <c r="J204" s="76"/>
      <c r="K204" s="76"/>
      <c r="L204" s="76"/>
      <c r="M204" s="76"/>
      <c r="N204" s="77"/>
      <c r="Q204" s="78"/>
    </row>
    <row r="205" ht="15" spans="1:17">
      <c r="A205" s="75"/>
      <c r="F205" s="76"/>
      <c r="G205" s="76"/>
      <c r="H205" s="76"/>
      <c r="I205" s="76"/>
      <c r="J205" s="76"/>
      <c r="K205" s="76"/>
      <c r="L205" s="76"/>
      <c r="M205" s="76"/>
      <c r="N205" s="77"/>
      <c r="Q205" s="78"/>
    </row>
    <row r="206" ht="15" spans="1:17">
      <c r="A206" s="75"/>
      <c r="F206" s="76"/>
      <c r="G206" s="76"/>
      <c r="H206" s="76"/>
      <c r="I206" s="76"/>
      <c r="J206" s="76"/>
      <c r="K206" s="76"/>
      <c r="L206" s="76"/>
      <c r="M206" s="76"/>
      <c r="N206" s="77"/>
      <c r="Q206" s="78"/>
    </row>
    <row r="207" ht="15" spans="1:17">
      <c r="A207" s="75"/>
      <c r="F207" s="76"/>
      <c r="G207" s="76"/>
      <c r="H207" s="76"/>
      <c r="I207" s="76"/>
      <c r="J207" s="76"/>
      <c r="K207" s="76"/>
      <c r="L207" s="76"/>
      <c r="M207" s="76"/>
      <c r="N207" s="77"/>
      <c r="Q207" s="78"/>
    </row>
    <row r="208" ht="15" spans="1:17">
      <c r="A208" s="75"/>
      <c r="F208" s="76"/>
      <c r="G208" s="76"/>
      <c r="H208" s="76"/>
      <c r="I208" s="76"/>
      <c r="J208" s="76"/>
      <c r="K208" s="76"/>
      <c r="L208" s="76"/>
      <c r="M208" s="76"/>
      <c r="N208" s="77"/>
      <c r="Q208" s="78"/>
    </row>
    <row r="209" ht="15" spans="1:17">
      <c r="A209" s="75"/>
      <c r="F209" s="76"/>
      <c r="G209" s="76"/>
      <c r="H209" s="76"/>
      <c r="I209" s="76"/>
      <c r="J209" s="76"/>
      <c r="K209" s="76"/>
      <c r="L209" s="76"/>
      <c r="M209" s="76"/>
      <c r="N209" s="77"/>
      <c r="Q209" s="78"/>
    </row>
    <row r="210" ht="15" spans="1:17">
      <c r="A210" s="75"/>
      <c r="F210" s="76"/>
      <c r="G210" s="76"/>
      <c r="H210" s="76"/>
      <c r="I210" s="76"/>
      <c r="J210" s="76"/>
      <c r="K210" s="76"/>
      <c r="L210" s="76"/>
      <c r="M210" s="76"/>
      <c r="N210" s="77"/>
      <c r="Q210" s="78"/>
    </row>
    <row r="211" ht="15" spans="1:17">
      <c r="A211" s="75"/>
      <c r="F211" s="76"/>
      <c r="G211" s="76"/>
      <c r="H211" s="76"/>
      <c r="I211" s="76"/>
      <c r="J211" s="76"/>
      <c r="K211" s="76"/>
      <c r="L211" s="76"/>
      <c r="M211" s="76"/>
      <c r="N211" s="77"/>
      <c r="Q211" s="78"/>
    </row>
    <row r="212" ht="15" spans="1:17">
      <c r="A212" s="75"/>
      <c r="F212" s="76"/>
      <c r="G212" s="76"/>
      <c r="H212" s="76"/>
      <c r="I212" s="76"/>
      <c r="J212" s="76"/>
      <c r="K212" s="76"/>
      <c r="L212" s="76"/>
      <c r="M212" s="76"/>
      <c r="N212" s="77"/>
      <c r="Q212" s="78"/>
    </row>
    <row r="213" ht="15" spans="1:17">
      <c r="A213" s="75"/>
      <c r="F213" s="76"/>
      <c r="G213" s="76"/>
      <c r="H213" s="76"/>
      <c r="I213" s="76"/>
      <c r="J213" s="76"/>
      <c r="K213" s="76"/>
      <c r="L213" s="76"/>
      <c r="M213" s="76"/>
      <c r="N213" s="77"/>
      <c r="Q213" s="78"/>
    </row>
    <row r="214" ht="15" spans="1:17">
      <c r="A214" s="75"/>
      <c r="F214" s="76"/>
      <c r="G214" s="76"/>
      <c r="H214" s="76"/>
      <c r="I214" s="76"/>
      <c r="J214" s="76"/>
      <c r="K214" s="76"/>
      <c r="L214" s="76"/>
      <c r="M214" s="76"/>
      <c r="N214" s="77"/>
      <c r="Q214" s="78"/>
    </row>
    <row r="215" ht="15" spans="1:17">
      <c r="A215" s="75"/>
      <c r="F215" s="76"/>
      <c r="G215" s="76"/>
      <c r="H215" s="76"/>
      <c r="I215" s="76"/>
      <c r="J215" s="76"/>
      <c r="K215" s="76"/>
      <c r="L215" s="76"/>
      <c r="M215" s="76"/>
      <c r="N215" s="77"/>
      <c r="Q215" s="78"/>
    </row>
    <row r="216" ht="15" spans="1:17">
      <c r="A216" s="75"/>
      <c r="F216" s="76"/>
      <c r="G216" s="76"/>
      <c r="H216" s="76"/>
      <c r="I216" s="76"/>
      <c r="J216" s="76"/>
      <c r="K216" s="76"/>
      <c r="L216" s="76"/>
      <c r="M216" s="76"/>
      <c r="N216" s="77"/>
      <c r="Q216" s="78"/>
    </row>
    <row r="217" ht="15" spans="1:17">
      <c r="A217" s="75"/>
      <c r="F217" s="76"/>
      <c r="G217" s="76"/>
      <c r="H217" s="76"/>
      <c r="I217" s="76"/>
      <c r="J217" s="76"/>
      <c r="K217" s="76"/>
      <c r="L217" s="76"/>
      <c r="M217" s="76"/>
      <c r="N217" s="77"/>
      <c r="Q217" s="78"/>
    </row>
    <row r="218" ht="15" spans="1:17">
      <c r="A218" s="75"/>
      <c r="F218" s="76"/>
      <c r="G218" s="76"/>
      <c r="H218" s="76"/>
      <c r="I218" s="76"/>
      <c r="J218" s="76"/>
      <c r="K218" s="76"/>
      <c r="L218" s="76"/>
      <c r="M218" s="76"/>
      <c r="N218" s="77"/>
      <c r="Q218" s="78"/>
    </row>
    <row r="219" ht="15" spans="1:17">
      <c r="A219" s="75"/>
      <c r="F219" s="76"/>
      <c r="G219" s="76"/>
      <c r="H219" s="76"/>
      <c r="I219" s="76"/>
      <c r="J219" s="76"/>
      <c r="K219" s="76"/>
      <c r="L219" s="76"/>
      <c r="M219" s="76"/>
      <c r="N219" s="77"/>
      <c r="Q219" s="78"/>
    </row>
    <row r="220" ht="15" spans="1:17">
      <c r="A220" s="75"/>
      <c r="F220" s="76"/>
      <c r="G220" s="76"/>
      <c r="H220" s="76"/>
      <c r="I220" s="76"/>
      <c r="J220" s="76"/>
      <c r="K220" s="76"/>
      <c r="L220" s="76"/>
      <c r="M220" s="76"/>
      <c r="N220" s="77"/>
      <c r="Q220" s="78"/>
    </row>
    <row r="221" ht="15" spans="1:17">
      <c r="A221" s="75"/>
      <c r="F221" s="76"/>
      <c r="G221" s="76"/>
      <c r="H221" s="76"/>
      <c r="I221" s="76"/>
      <c r="J221" s="76"/>
      <c r="K221" s="76"/>
      <c r="L221" s="76"/>
      <c r="M221" s="76"/>
      <c r="N221" s="77"/>
      <c r="Q221" s="78"/>
    </row>
    <row r="222" ht="15" spans="1:17">
      <c r="A222" s="75"/>
      <c r="F222" s="76"/>
      <c r="G222" s="76"/>
      <c r="H222" s="76"/>
      <c r="I222" s="76"/>
      <c r="J222" s="76"/>
      <c r="K222" s="76"/>
      <c r="L222" s="76"/>
      <c r="M222" s="76"/>
      <c r="N222" s="77"/>
      <c r="Q222" s="78"/>
    </row>
    <row r="223" ht="15" spans="1:17">
      <c r="A223" s="75"/>
      <c r="F223" s="76"/>
      <c r="G223" s="76"/>
      <c r="H223" s="76"/>
      <c r="I223" s="76"/>
      <c r="J223" s="76"/>
      <c r="K223" s="76"/>
      <c r="L223" s="76"/>
      <c r="M223" s="76"/>
      <c r="N223" s="77"/>
      <c r="Q223" s="78"/>
    </row>
    <row r="224" ht="15" spans="1:17">
      <c r="A224" s="75"/>
      <c r="F224" s="76"/>
      <c r="G224" s="76"/>
      <c r="H224" s="76"/>
      <c r="I224" s="76"/>
      <c r="J224" s="76"/>
      <c r="K224" s="76"/>
      <c r="L224" s="76"/>
      <c r="M224" s="76"/>
      <c r="N224" s="77"/>
      <c r="Q224" s="78"/>
    </row>
    <row r="225" ht="15" spans="1:17">
      <c r="A225" s="75"/>
      <c r="F225" s="76"/>
      <c r="G225" s="76"/>
      <c r="H225" s="76"/>
      <c r="I225" s="76"/>
      <c r="J225" s="76"/>
      <c r="K225" s="76"/>
      <c r="L225" s="76"/>
      <c r="M225" s="76"/>
      <c r="N225" s="77"/>
      <c r="Q225" s="78"/>
    </row>
    <row r="226" ht="15" spans="1:17">
      <c r="A226" s="75"/>
      <c r="F226" s="76"/>
      <c r="G226" s="76"/>
      <c r="H226" s="76"/>
      <c r="I226" s="76"/>
      <c r="J226" s="76"/>
      <c r="K226" s="76"/>
      <c r="L226" s="76"/>
      <c r="M226" s="76"/>
      <c r="N226" s="77"/>
      <c r="Q226" s="78"/>
    </row>
    <row r="227" ht="15" spans="1:17">
      <c r="A227" s="75"/>
      <c r="F227" s="76"/>
      <c r="G227" s="76"/>
      <c r="H227" s="76"/>
      <c r="I227" s="76"/>
      <c r="J227" s="76"/>
      <c r="K227" s="76"/>
      <c r="L227" s="76"/>
      <c r="M227" s="76"/>
      <c r="N227" s="77"/>
      <c r="Q227" s="78"/>
    </row>
    <row r="228" ht="15" spans="1:17">
      <c r="A228" s="75"/>
      <c r="F228" s="76"/>
      <c r="G228" s="76"/>
      <c r="H228" s="76"/>
      <c r="I228" s="76"/>
      <c r="J228" s="76"/>
      <c r="K228" s="76"/>
      <c r="L228" s="76"/>
      <c r="M228" s="76"/>
      <c r="N228" s="77"/>
      <c r="Q228" s="78"/>
    </row>
    <row r="229" ht="15" spans="1:17">
      <c r="A229" s="75"/>
      <c r="F229" s="76"/>
      <c r="G229" s="76"/>
      <c r="H229" s="76"/>
      <c r="I229" s="76"/>
      <c r="J229" s="76"/>
      <c r="K229" s="76"/>
      <c r="L229" s="76"/>
      <c r="M229" s="76"/>
      <c r="N229" s="77"/>
      <c r="Q229" s="78"/>
    </row>
    <row r="230" ht="15" spans="1:17">
      <c r="A230" s="75"/>
      <c r="F230" s="76"/>
      <c r="G230" s="76"/>
      <c r="H230" s="76"/>
      <c r="I230" s="76"/>
      <c r="J230" s="76"/>
      <c r="K230" s="76"/>
      <c r="L230" s="76"/>
      <c r="M230" s="76"/>
      <c r="N230" s="77"/>
      <c r="Q230" s="78"/>
    </row>
    <row r="231" ht="15" spans="1:17">
      <c r="A231" s="75"/>
      <c r="F231" s="76"/>
      <c r="G231" s="76"/>
      <c r="H231" s="76"/>
      <c r="I231" s="76"/>
      <c r="J231" s="76"/>
      <c r="K231" s="76"/>
      <c r="L231" s="76"/>
      <c r="M231" s="76"/>
      <c r="N231" s="77"/>
      <c r="Q231" s="78"/>
    </row>
    <row r="232" ht="15" spans="1:17">
      <c r="A232" s="75"/>
      <c r="F232" s="76"/>
      <c r="G232" s="76"/>
      <c r="H232" s="76"/>
      <c r="I232" s="76"/>
      <c r="J232" s="76"/>
      <c r="K232" s="76"/>
      <c r="L232" s="76"/>
      <c r="M232" s="76"/>
      <c r="N232" s="77"/>
      <c r="Q232" s="78"/>
    </row>
    <row r="233" ht="15" spans="1:17">
      <c r="A233" s="75"/>
      <c r="F233" s="76"/>
      <c r="G233" s="76"/>
      <c r="H233" s="76"/>
      <c r="I233" s="76"/>
      <c r="J233" s="76"/>
      <c r="K233" s="76"/>
      <c r="L233" s="76"/>
      <c r="M233" s="76"/>
      <c r="N233" s="77"/>
      <c r="Q233" s="78"/>
    </row>
    <row r="234" ht="15" spans="1:17">
      <c r="A234" s="75"/>
      <c r="F234" s="76"/>
      <c r="G234" s="76"/>
      <c r="H234" s="76"/>
      <c r="I234" s="76"/>
      <c r="J234" s="76"/>
      <c r="K234" s="76"/>
      <c r="L234" s="76"/>
      <c r="M234" s="76"/>
      <c r="N234" s="77"/>
      <c r="Q234" s="78"/>
    </row>
    <row r="235" ht="15" spans="1:17">
      <c r="A235" s="75"/>
      <c r="F235" s="76"/>
      <c r="G235" s="76"/>
      <c r="H235" s="76"/>
      <c r="I235" s="76"/>
      <c r="J235" s="76"/>
      <c r="K235" s="76"/>
      <c r="L235" s="76"/>
      <c r="M235" s="76"/>
      <c r="N235" s="77"/>
      <c r="Q235" s="78"/>
    </row>
    <row r="236" ht="15" spans="1:17">
      <c r="A236" s="75"/>
      <c r="F236" s="76"/>
      <c r="G236" s="76"/>
      <c r="H236" s="76"/>
      <c r="I236" s="76"/>
      <c r="J236" s="76"/>
      <c r="K236" s="76"/>
      <c r="L236" s="76"/>
      <c r="M236" s="76"/>
      <c r="N236" s="77"/>
      <c r="Q236" s="78"/>
    </row>
    <row r="237" ht="15" spans="1:17">
      <c r="A237" s="75"/>
      <c r="F237" s="76"/>
      <c r="G237" s="76"/>
      <c r="H237" s="76"/>
      <c r="I237" s="76"/>
      <c r="J237" s="76"/>
      <c r="K237" s="76"/>
      <c r="L237" s="76"/>
      <c r="M237" s="76"/>
      <c r="N237" s="77"/>
      <c r="Q237" s="78"/>
    </row>
    <row r="238" ht="15" spans="1:17">
      <c r="A238" s="75"/>
      <c r="F238" s="76"/>
      <c r="G238" s="76"/>
      <c r="H238" s="76"/>
      <c r="I238" s="76"/>
      <c r="J238" s="76"/>
      <c r="K238" s="76"/>
      <c r="L238" s="76"/>
      <c r="M238" s="76"/>
      <c r="N238" s="77"/>
      <c r="Q238" s="78"/>
    </row>
    <row r="239" ht="15" spans="1:17">
      <c r="A239" s="75"/>
      <c r="F239" s="76"/>
      <c r="G239" s="76"/>
      <c r="H239" s="76"/>
      <c r="I239" s="76"/>
      <c r="J239" s="76"/>
      <c r="K239" s="76"/>
      <c r="L239" s="76"/>
      <c r="M239" s="76"/>
      <c r="N239" s="77"/>
      <c r="Q239" s="78"/>
    </row>
    <row r="240" ht="15" spans="1:17">
      <c r="A240" s="75"/>
      <c r="F240" s="76"/>
      <c r="G240" s="76"/>
      <c r="H240" s="76"/>
      <c r="I240" s="76"/>
      <c r="J240" s="76"/>
      <c r="K240" s="76"/>
      <c r="L240" s="76"/>
      <c r="M240" s="76"/>
      <c r="N240" s="77"/>
      <c r="Q240" s="78"/>
    </row>
    <row r="241" ht="15" spans="1:17">
      <c r="A241" s="75"/>
      <c r="F241" s="76"/>
      <c r="G241" s="76"/>
      <c r="H241" s="76"/>
      <c r="I241" s="76"/>
      <c r="J241" s="76"/>
      <c r="K241" s="76"/>
      <c r="L241" s="76"/>
      <c r="M241" s="76"/>
      <c r="N241" s="77"/>
      <c r="Q241" s="78"/>
    </row>
    <row r="242" ht="15" spans="1:17">
      <c r="A242" s="75"/>
      <c r="F242" s="76"/>
      <c r="G242" s="76"/>
      <c r="H242" s="76"/>
      <c r="I242" s="76"/>
      <c r="J242" s="76"/>
      <c r="K242" s="76"/>
      <c r="L242" s="76"/>
      <c r="M242" s="76"/>
      <c r="N242" s="77"/>
      <c r="Q242" s="78"/>
    </row>
    <row r="243" ht="15" spans="1:17">
      <c r="A243" s="75"/>
      <c r="F243" s="76"/>
      <c r="G243" s="76"/>
      <c r="H243" s="76"/>
      <c r="I243" s="76"/>
      <c r="J243" s="76"/>
      <c r="K243" s="76"/>
      <c r="L243" s="76"/>
      <c r="M243" s="76"/>
      <c r="N243" s="77"/>
      <c r="Q243" s="78"/>
    </row>
    <row r="244" ht="15" spans="1:17">
      <c r="A244" s="75"/>
      <c r="F244" s="76"/>
      <c r="G244" s="76"/>
      <c r="H244" s="76"/>
      <c r="I244" s="76"/>
      <c r="J244" s="76"/>
      <c r="K244" s="76"/>
      <c r="L244" s="76"/>
      <c r="M244" s="76"/>
      <c r="N244" s="77"/>
      <c r="Q244" s="78"/>
    </row>
    <row r="245" ht="15" spans="1:17">
      <c r="A245" s="75"/>
      <c r="F245" s="76"/>
      <c r="G245" s="76"/>
      <c r="H245" s="76"/>
      <c r="I245" s="76"/>
      <c r="J245" s="76"/>
      <c r="K245" s="76"/>
      <c r="L245" s="76"/>
      <c r="M245" s="76"/>
      <c r="N245" s="77"/>
      <c r="Q245" s="78"/>
    </row>
    <row r="246" ht="15" spans="1:17">
      <c r="A246" s="75"/>
      <c r="F246" s="76"/>
      <c r="G246" s="76"/>
      <c r="H246" s="76"/>
      <c r="I246" s="76"/>
      <c r="J246" s="76"/>
      <c r="K246" s="76"/>
      <c r="L246" s="76"/>
      <c r="M246" s="76"/>
      <c r="N246" s="77"/>
      <c r="Q246" s="78"/>
    </row>
    <row r="247" ht="15" spans="1:17">
      <c r="A247" s="75"/>
      <c r="F247" s="76"/>
      <c r="G247" s="76"/>
      <c r="H247" s="76"/>
      <c r="I247" s="76"/>
      <c r="J247" s="76"/>
      <c r="K247" s="76"/>
      <c r="L247" s="76"/>
      <c r="M247" s="76"/>
      <c r="N247" s="77"/>
      <c r="Q247" s="78"/>
    </row>
    <row r="248" ht="15" spans="1:17">
      <c r="A248" s="75"/>
      <c r="F248" s="76"/>
      <c r="G248" s="76"/>
      <c r="H248" s="76"/>
      <c r="I248" s="76"/>
      <c r="J248" s="76"/>
      <c r="K248" s="76"/>
      <c r="L248" s="76"/>
      <c r="M248" s="76"/>
      <c r="N248" s="77"/>
      <c r="Q248" s="78"/>
    </row>
    <row r="249" ht="15" spans="1:17">
      <c r="A249" s="75"/>
      <c r="F249" s="76"/>
      <c r="G249" s="76"/>
      <c r="H249" s="76"/>
      <c r="I249" s="76"/>
      <c r="J249" s="76"/>
      <c r="K249" s="76"/>
      <c r="L249" s="76"/>
      <c r="M249" s="76"/>
      <c r="N249" s="77"/>
      <c r="Q249" s="78"/>
    </row>
    <row r="250" ht="15" spans="1:17">
      <c r="A250" s="75"/>
      <c r="F250" s="76"/>
      <c r="G250" s="76"/>
      <c r="H250" s="76"/>
      <c r="I250" s="76"/>
      <c r="J250" s="76"/>
      <c r="K250" s="76"/>
      <c r="L250" s="76"/>
      <c r="M250" s="76"/>
      <c r="N250" s="77"/>
      <c r="Q250" s="78"/>
    </row>
    <row r="251" ht="15" spans="1:17">
      <c r="A251" s="75"/>
      <c r="F251" s="76"/>
      <c r="G251" s="76"/>
      <c r="H251" s="76"/>
      <c r="I251" s="76"/>
      <c r="J251" s="76"/>
      <c r="K251" s="76"/>
      <c r="L251" s="76"/>
      <c r="M251" s="76"/>
      <c r="N251" s="77"/>
      <c r="Q251" s="78"/>
    </row>
    <row r="252" ht="15" spans="1:17">
      <c r="A252" s="75"/>
      <c r="F252" s="76"/>
      <c r="G252" s="76"/>
      <c r="H252" s="76"/>
      <c r="I252" s="76"/>
      <c r="J252" s="76"/>
      <c r="K252" s="76"/>
      <c r="L252" s="76"/>
      <c r="M252" s="76"/>
      <c r="N252" s="77"/>
      <c r="Q252" s="78"/>
    </row>
    <row r="253" ht="15" spans="1:17">
      <c r="A253" s="75"/>
      <c r="F253" s="76"/>
      <c r="G253" s="76"/>
      <c r="H253" s="76"/>
      <c r="I253" s="76"/>
      <c r="J253" s="76"/>
      <c r="K253" s="76"/>
      <c r="L253" s="76"/>
      <c r="M253" s="76"/>
      <c r="N253" s="77"/>
      <c r="Q253" s="78"/>
    </row>
    <row r="254" ht="15" spans="1:17">
      <c r="A254" s="75"/>
      <c r="F254" s="76"/>
      <c r="G254" s="76"/>
      <c r="H254" s="76"/>
      <c r="I254" s="76"/>
      <c r="J254" s="76"/>
      <c r="K254" s="76"/>
      <c r="L254" s="76"/>
      <c r="M254" s="76"/>
      <c r="N254" s="77"/>
      <c r="Q254" s="78"/>
    </row>
    <row r="255" ht="15" spans="1:17">
      <c r="A255" s="75"/>
      <c r="F255" s="76"/>
      <c r="G255" s="76"/>
      <c r="H255" s="76"/>
      <c r="I255" s="76"/>
      <c r="J255" s="76"/>
      <c r="K255" s="76"/>
      <c r="L255" s="76"/>
      <c r="M255" s="76"/>
      <c r="N255" s="77"/>
      <c r="Q255" s="78"/>
    </row>
    <row r="256" ht="15" spans="1:17">
      <c r="A256" s="75"/>
      <c r="F256" s="76"/>
      <c r="G256" s="76"/>
      <c r="H256" s="76"/>
      <c r="I256" s="76"/>
      <c r="J256" s="76"/>
      <c r="K256" s="76"/>
      <c r="L256" s="76"/>
      <c r="M256" s="76"/>
      <c r="N256" s="77"/>
      <c r="Q256" s="78"/>
    </row>
    <row r="257" ht="15" spans="1:17">
      <c r="A257" s="75"/>
      <c r="F257" s="76"/>
      <c r="G257" s="76"/>
      <c r="H257" s="76"/>
      <c r="I257" s="76"/>
      <c r="J257" s="76"/>
      <c r="K257" s="76"/>
      <c r="L257" s="76"/>
      <c r="M257" s="76"/>
      <c r="N257" s="77"/>
      <c r="Q257" s="78"/>
    </row>
    <row r="258" ht="15" spans="1:17">
      <c r="A258" s="75"/>
      <c r="F258" s="76"/>
      <c r="G258" s="76"/>
      <c r="H258" s="76"/>
      <c r="I258" s="76"/>
      <c r="J258" s="76"/>
      <c r="K258" s="76"/>
      <c r="L258" s="76"/>
      <c r="M258" s="76"/>
      <c r="N258" s="77"/>
      <c r="Q258" s="78"/>
    </row>
    <row r="259" ht="15" spans="1:17">
      <c r="A259" s="75"/>
      <c r="F259" s="76"/>
      <c r="G259" s="76"/>
      <c r="H259" s="76"/>
      <c r="I259" s="76"/>
      <c r="J259" s="76"/>
      <c r="K259" s="76"/>
      <c r="L259" s="76"/>
      <c r="M259" s="76"/>
      <c r="N259" s="77"/>
      <c r="Q259" s="78"/>
    </row>
    <row r="260" ht="15" spans="1:17">
      <c r="A260" s="75"/>
      <c r="F260" s="76"/>
      <c r="G260" s="76"/>
      <c r="H260" s="76"/>
      <c r="I260" s="76"/>
      <c r="J260" s="76"/>
      <c r="K260" s="76"/>
      <c r="L260" s="76"/>
      <c r="M260" s="76"/>
      <c r="N260" s="77"/>
      <c r="Q260" s="78"/>
    </row>
    <row r="261" ht="15" spans="1:17">
      <c r="A261" s="75"/>
      <c r="F261" s="76"/>
      <c r="G261" s="76"/>
      <c r="H261" s="76"/>
      <c r="I261" s="76"/>
      <c r="J261" s="76"/>
      <c r="K261" s="76"/>
      <c r="L261" s="76"/>
      <c r="M261" s="76"/>
      <c r="N261" s="77"/>
      <c r="Q261" s="78"/>
    </row>
    <row r="262" ht="15" spans="1:17">
      <c r="A262" s="75"/>
      <c r="F262" s="76"/>
      <c r="G262" s="76"/>
      <c r="H262" s="76"/>
      <c r="I262" s="76"/>
      <c r="J262" s="76"/>
      <c r="K262" s="76"/>
      <c r="L262" s="76"/>
      <c r="M262" s="76"/>
      <c r="N262" s="77"/>
      <c r="Q262" s="78"/>
    </row>
    <row r="263" ht="15" spans="1:17">
      <c r="A263" s="75"/>
      <c r="F263" s="76"/>
      <c r="G263" s="76"/>
      <c r="H263" s="76"/>
      <c r="I263" s="76"/>
      <c r="J263" s="76"/>
      <c r="K263" s="76"/>
      <c r="L263" s="76"/>
      <c r="M263" s="76"/>
      <c r="N263" s="77"/>
      <c r="Q263" s="78"/>
    </row>
    <row r="264" ht="15" spans="1:17">
      <c r="A264" s="75"/>
      <c r="F264" s="76"/>
      <c r="G264" s="76"/>
      <c r="H264" s="76"/>
      <c r="I264" s="76"/>
      <c r="J264" s="76"/>
      <c r="K264" s="76"/>
      <c r="L264" s="76"/>
      <c r="M264" s="76"/>
      <c r="N264" s="77"/>
      <c r="Q264" s="78"/>
    </row>
    <row r="265" ht="15" spans="1:17">
      <c r="A265" s="75"/>
      <c r="F265" s="76"/>
      <c r="G265" s="76"/>
      <c r="H265" s="76"/>
      <c r="I265" s="76"/>
      <c r="J265" s="76"/>
      <c r="K265" s="76"/>
      <c r="L265" s="76"/>
      <c r="M265" s="76"/>
      <c r="N265" s="77"/>
      <c r="Q265" s="78"/>
    </row>
    <row r="266" ht="15" spans="1:17">
      <c r="A266" s="75"/>
      <c r="F266" s="76"/>
      <c r="G266" s="76"/>
      <c r="H266" s="76"/>
      <c r="I266" s="76"/>
      <c r="J266" s="76"/>
      <c r="K266" s="76"/>
      <c r="L266" s="76"/>
      <c r="M266" s="76"/>
      <c r="N266" s="77"/>
      <c r="Q266" s="78"/>
    </row>
    <row r="267" ht="15" spans="1:17">
      <c r="A267" s="75"/>
      <c r="F267" s="76"/>
      <c r="G267" s="76"/>
      <c r="H267" s="76"/>
      <c r="I267" s="76"/>
      <c r="J267" s="76"/>
      <c r="K267" s="76"/>
      <c r="L267" s="76"/>
      <c r="M267" s="76"/>
      <c r="N267" s="77"/>
      <c r="Q267" s="78"/>
    </row>
    <row r="268" ht="15" spans="1:17">
      <c r="A268" s="75"/>
      <c r="F268" s="76"/>
      <c r="G268" s="76"/>
      <c r="H268" s="76"/>
      <c r="I268" s="76"/>
      <c r="J268" s="76"/>
      <c r="K268" s="76"/>
      <c r="L268" s="76"/>
      <c r="M268" s="76"/>
      <c r="N268" s="77"/>
      <c r="Q268" s="78"/>
    </row>
    <row r="269" ht="15" spans="1:17">
      <c r="A269" s="75"/>
      <c r="F269" s="76"/>
      <c r="G269" s="76"/>
      <c r="H269" s="76"/>
      <c r="I269" s="76"/>
      <c r="J269" s="76"/>
      <c r="K269" s="76"/>
      <c r="L269" s="76"/>
      <c r="M269" s="76"/>
      <c r="N269" s="77"/>
      <c r="Q269" s="78"/>
    </row>
    <row r="270" ht="15" spans="1:17">
      <c r="A270" s="75"/>
      <c r="F270" s="76"/>
      <c r="G270" s="76"/>
      <c r="H270" s="76"/>
      <c r="I270" s="76"/>
      <c r="J270" s="76"/>
      <c r="K270" s="76"/>
      <c r="L270" s="76"/>
      <c r="M270" s="76"/>
      <c r="N270" s="77"/>
      <c r="Q270" s="78"/>
    </row>
    <row r="271" ht="15" spans="1:17">
      <c r="A271" s="75"/>
      <c r="F271" s="76"/>
      <c r="G271" s="76"/>
      <c r="H271" s="76"/>
      <c r="I271" s="76"/>
      <c r="J271" s="76"/>
      <c r="K271" s="76"/>
      <c r="L271" s="76"/>
      <c r="M271" s="76"/>
      <c r="N271" s="77"/>
      <c r="Q271" s="78"/>
    </row>
    <row r="272" ht="15" spans="1:17">
      <c r="A272" s="75"/>
      <c r="F272" s="76"/>
      <c r="G272" s="76"/>
      <c r="H272" s="76"/>
      <c r="I272" s="76"/>
      <c r="J272" s="76"/>
      <c r="K272" s="76"/>
      <c r="L272" s="76"/>
      <c r="M272" s="76"/>
      <c r="N272" s="77"/>
      <c r="Q272" s="78"/>
    </row>
    <row r="273" ht="15" spans="1:17">
      <c r="A273" s="75"/>
      <c r="F273" s="76"/>
      <c r="G273" s="76"/>
      <c r="H273" s="76"/>
      <c r="I273" s="76"/>
      <c r="J273" s="76"/>
      <c r="K273" s="76"/>
      <c r="L273" s="76"/>
      <c r="M273" s="76"/>
      <c r="N273" s="77"/>
      <c r="Q273" s="78"/>
    </row>
    <row r="274" ht="15" spans="1:17">
      <c r="A274" s="75"/>
      <c r="F274" s="76"/>
      <c r="G274" s="76"/>
      <c r="H274" s="76"/>
      <c r="I274" s="76"/>
      <c r="J274" s="76"/>
      <c r="K274" s="76"/>
      <c r="L274" s="76"/>
      <c r="M274" s="76"/>
      <c r="N274" s="77"/>
      <c r="Q274" s="78"/>
    </row>
    <row r="275" ht="15" spans="1:17">
      <c r="A275" s="75"/>
      <c r="F275" s="76"/>
      <c r="G275" s="76"/>
      <c r="H275" s="76"/>
      <c r="I275" s="76"/>
      <c r="J275" s="76"/>
      <c r="K275" s="76"/>
      <c r="L275" s="76"/>
      <c r="M275" s="76"/>
      <c r="N275" s="77"/>
      <c r="Q275" s="78"/>
    </row>
    <row r="276" ht="15" spans="1:17">
      <c r="A276" s="75"/>
      <c r="F276" s="76"/>
      <c r="G276" s="76"/>
      <c r="H276" s="76"/>
      <c r="I276" s="76"/>
      <c r="J276" s="76"/>
      <c r="K276" s="76"/>
      <c r="L276" s="76"/>
      <c r="M276" s="76"/>
      <c r="N276" s="77"/>
      <c r="Q276" s="78"/>
    </row>
    <row r="277" ht="15" spans="1:17">
      <c r="A277" s="75"/>
      <c r="F277" s="76"/>
      <c r="G277" s="76"/>
      <c r="H277" s="76"/>
      <c r="I277" s="76"/>
      <c r="J277" s="76"/>
      <c r="K277" s="76"/>
      <c r="L277" s="76"/>
      <c r="M277" s="76"/>
      <c r="N277" s="77"/>
      <c r="Q277" s="78"/>
    </row>
    <row r="278" ht="15" spans="1:17">
      <c r="A278" s="75"/>
      <c r="F278" s="76"/>
      <c r="G278" s="76"/>
      <c r="H278" s="76"/>
      <c r="I278" s="76"/>
      <c r="J278" s="76"/>
      <c r="K278" s="76"/>
      <c r="L278" s="76"/>
      <c r="M278" s="76"/>
      <c r="N278" s="77"/>
      <c r="Q278" s="78"/>
    </row>
    <row r="279" ht="15" spans="1:17">
      <c r="A279" s="75"/>
      <c r="F279" s="76"/>
      <c r="G279" s="76"/>
      <c r="H279" s="76"/>
      <c r="I279" s="76"/>
      <c r="J279" s="76"/>
      <c r="K279" s="76"/>
      <c r="L279" s="76"/>
      <c r="M279" s="76"/>
      <c r="N279" s="77"/>
      <c r="Q279" s="78"/>
    </row>
    <row r="280" ht="15" spans="1:17">
      <c r="A280" s="75"/>
      <c r="F280" s="76"/>
      <c r="G280" s="76"/>
      <c r="H280" s="76"/>
      <c r="I280" s="76"/>
      <c r="J280" s="76"/>
      <c r="K280" s="76"/>
      <c r="L280" s="76"/>
      <c r="M280" s="76"/>
      <c r="N280" s="77"/>
      <c r="Q280" s="78"/>
    </row>
    <row r="281" ht="15" spans="1:17">
      <c r="A281" s="75"/>
      <c r="F281" s="76"/>
      <c r="G281" s="76"/>
      <c r="H281" s="76"/>
      <c r="I281" s="76"/>
      <c r="J281" s="76"/>
      <c r="K281" s="76"/>
      <c r="L281" s="76"/>
      <c r="M281" s="76"/>
      <c r="N281" s="77"/>
      <c r="Q281" s="78"/>
    </row>
    <row r="282" ht="15" spans="1:17">
      <c r="A282" s="75"/>
      <c r="F282" s="76"/>
      <c r="G282" s="76"/>
      <c r="H282" s="76"/>
      <c r="I282" s="76"/>
      <c r="J282" s="76"/>
      <c r="K282" s="76"/>
      <c r="L282" s="76"/>
      <c r="M282" s="76"/>
      <c r="N282" s="77"/>
      <c r="Q282" s="78"/>
    </row>
    <row r="283" ht="15" spans="1:17">
      <c r="A283" s="75"/>
      <c r="F283" s="76"/>
      <c r="G283" s="76"/>
      <c r="H283" s="76"/>
      <c r="I283" s="76"/>
      <c r="J283" s="76"/>
      <c r="K283" s="76"/>
      <c r="L283" s="76"/>
      <c r="M283" s="76"/>
      <c r="N283" s="77"/>
      <c r="Q283" s="78"/>
    </row>
    <row r="284" ht="15" spans="1:17">
      <c r="A284" s="75"/>
      <c r="F284" s="76"/>
      <c r="G284" s="76"/>
      <c r="H284" s="76"/>
      <c r="I284" s="76"/>
      <c r="J284" s="76"/>
      <c r="K284" s="76"/>
      <c r="L284" s="76"/>
      <c r="M284" s="76"/>
      <c r="N284" s="77"/>
      <c r="Q284" s="78"/>
    </row>
    <row r="285" ht="15" spans="1:17">
      <c r="A285" s="75"/>
      <c r="F285" s="76"/>
      <c r="G285" s="76"/>
      <c r="H285" s="76"/>
      <c r="I285" s="76"/>
      <c r="J285" s="76"/>
      <c r="K285" s="76"/>
      <c r="L285" s="76"/>
      <c r="M285" s="76"/>
      <c r="N285" s="77"/>
      <c r="Q285" s="78"/>
    </row>
    <row r="286" ht="15" spans="1:17">
      <c r="A286" s="75"/>
      <c r="F286" s="76"/>
      <c r="G286" s="76"/>
      <c r="H286" s="76"/>
      <c r="I286" s="76"/>
      <c r="J286" s="76"/>
      <c r="K286" s="76"/>
      <c r="L286" s="76"/>
      <c r="M286" s="76"/>
      <c r="N286" s="77"/>
      <c r="Q286" s="78"/>
    </row>
    <row r="287" ht="15" spans="1:17">
      <c r="A287" s="75"/>
      <c r="F287" s="76"/>
      <c r="G287" s="76"/>
      <c r="H287" s="76"/>
      <c r="I287" s="76"/>
      <c r="J287" s="76"/>
      <c r="K287" s="76"/>
      <c r="L287" s="76"/>
      <c r="M287" s="76"/>
      <c r="N287" s="77"/>
      <c r="Q287" s="78"/>
    </row>
    <row r="288" ht="15" spans="1:17">
      <c r="A288" s="75"/>
      <c r="F288" s="76"/>
      <c r="G288" s="76"/>
      <c r="H288" s="76"/>
      <c r="I288" s="76"/>
      <c r="J288" s="76"/>
      <c r="K288" s="76"/>
      <c r="L288" s="76"/>
      <c r="M288" s="76"/>
      <c r="N288" s="77"/>
      <c r="Q288" s="78"/>
    </row>
    <row r="289" ht="15" spans="1:17">
      <c r="A289" s="75"/>
      <c r="F289" s="76"/>
      <c r="G289" s="76"/>
      <c r="H289" s="76"/>
      <c r="I289" s="76"/>
      <c r="J289" s="76"/>
      <c r="K289" s="76"/>
      <c r="L289" s="76"/>
      <c r="M289" s="76"/>
      <c r="N289" s="77"/>
      <c r="Q289" s="78"/>
    </row>
    <row r="290" ht="15" spans="1:17">
      <c r="A290" s="75"/>
      <c r="F290" s="76"/>
      <c r="G290" s="76"/>
      <c r="H290" s="76"/>
      <c r="I290" s="76"/>
      <c r="J290" s="76"/>
      <c r="K290" s="76"/>
      <c r="L290" s="76"/>
      <c r="M290" s="76"/>
      <c r="N290" s="77"/>
      <c r="Q290" s="78"/>
    </row>
    <row r="291" ht="15" spans="1:17">
      <c r="A291" s="75"/>
      <c r="F291" s="76"/>
      <c r="G291" s="76"/>
      <c r="H291" s="76"/>
      <c r="I291" s="76"/>
      <c r="J291" s="76"/>
      <c r="K291" s="76"/>
      <c r="L291" s="76"/>
      <c r="M291" s="76"/>
      <c r="N291" s="77"/>
      <c r="Q291" s="78"/>
    </row>
    <row r="292" ht="15" spans="1:17">
      <c r="A292" s="75"/>
      <c r="F292" s="76"/>
      <c r="G292" s="76"/>
      <c r="H292" s="76"/>
      <c r="I292" s="76"/>
      <c r="J292" s="76"/>
      <c r="K292" s="76"/>
      <c r="L292" s="76"/>
      <c r="M292" s="76"/>
      <c r="N292" s="77"/>
      <c r="Q292" s="78"/>
    </row>
    <row r="293" ht="15" spans="1:17">
      <c r="A293" s="75"/>
      <c r="F293" s="76"/>
      <c r="G293" s="76"/>
      <c r="H293" s="76"/>
      <c r="I293" s="76"/>
      <c r="J293" s="76"/>
      <c r="K293" s="76"/>
      <c r="L293" s="76"/>
      <c r="M293" s="76"/>
      <c r="N293" s="77"/>
      <c r="Q293" s="78"/>
    </row>
    <row r="294" ht="15" spans="1:17">
      <c r="A294" s="75"/>
      <c r="F294" s="76"/>
      <c r="G294" s="76"/>
      <c r="H294" s="76"/>
      <c r="I294" s="76"/>
      <c r="J294" s="76"/>
      <c r="K294" s="76"/>
      <c r="L294" s="76"/>
      <c r="M294" s="76"/>
      <c r="N294" s="77"/>
      <c r="Q294" s="78"/>
    </row>
    <row r="295" ht="15" spans="1:17">
      <c r="A295" s="75"/>
      <c r="F295" s="76"/>
      <c r="G295" s="76"/>
      <c r="H295" s="76"/>
      <c r="I295" s="76"/>
      <c r="J295" s="76"/>
      <c r="K295" s="76"/>
      <c r="L295" s="76"/>
      <c r="M295" s="76"/>
      <c r="N295" s="77"/>
      <c r="Q295" s="78"/>
    </row>
    <row r="296" ht="15" spans="1:17">
      <c r="A296" s="75"/>
      <c r="F296" s="76"/>
      <c r="G296" s="76"/>
      <c r="H296" s="76"/>
      <c r="I296" s="76"/>
      <c r="J296" s="76"/>
      <c r="K296" s="76"/>
      <c r="L296" s="76"/>
      <c r="M296" s="76"/>
      <c r="N296" s="77"/>
      <c r="Q296" s="78"/>
    </row>
    <row r="297" ht="15" spans="1:17">
      <c r="A297" s="75"/>
      <c r="F297" s="76"/>
      <c r="G297" s="76"/>
      <c r="H297" s="76"/>
      <c r="I297" s="76"/>
      <c r="J297" s="76"/>
      <c r="K297" s="76"/>
      <c r="L297" s="76"/>
      <c r="M297" s="76"/>
      <c r="N297" s="77"/>
      <c r="Q297" s="78"/>
    </row>
    <row r="298" ht="15" spans="1:17">
      <c r="A298" s="75"/>
      <c r="F298" s="76"/>
      <c r="G298" s="76"/>
      <c r="H298" s="76"/>
      <c r="I298" s="76"/>
      <c r="J298" s="76"/>
      <c r="K298" s="76"/>
      <c r="L298" s="76"/>
      <c r="M298" s="76"/>
      <c r="N298" s="77"/>
      <c r="Q298" s="78"/>
    </row>
    <row r="299" ht="15" spans="1:17">
      <c r="A299" s="75"/>
      <c r="F299" s="76"/>
      <c r="G299" s="76"/>
      <c r="H299" s="76"/>
      <c r="I299" s="76"/>
      <c r="J299" s="76"/>
      <c r="K299" s="76"/>
      <c r="L299" s="76"/>
      <c r="M299" s="76"/>
      <c r="N299" s="77"/>
      <c r="Q299" s="78"/>
    </row>
    <row r="300" ht="15" spans="1:17">
      <c r="A300" s="75"/>
      <c r="F300" s="76"/>
      <c r="G300" s="76"/>
      <c r="H300" s="76"/>
      <c r="I300" s="76"/>
      <c r="J300" s="76"/>
      <c r="K300" s="76"/>
      <c r="L300" s="76"/>
      <c r="M300" s="76"/>
      <c r="N300" s="77"/>
      <c r="Q300" s="78"/>
    </row>
    <row r="301" ht="15" spans="1:17">
      <c r="A301" s="75"/>
      <c r="F301" s="76"/>
      <c r="G301" s="76"/>
      <c r="H301" s="76"/>
      <c r="I301" s="76"/>
      <c r="J301" s="76"/>
      <c r="K301" s="76"/>
      <c r="L301" s="76"/>
      <c r="M301" s="76"/>
      <c r="N301" s="77"/>
      <c r="Q301" s="78"/>
    </row>
    <row r="302" ht="15" spans="1:17">
      <c r="A302" s="75"/>
      <c r="F302" s="76"/>
      <c r="G302" s="76"/>
      <c r="H302" s="76"/>
      <c r="I302" s="76"/>
      <c r="J302" s="76"/>
      <c r="K302" s="76"/>
      <c r="L302" s="76"/>
      <c r="M302" s="76"/>
      <c r="N302" s="77"/>
      <c r="Q302" s="78"/>
    </row>
    <row r="303" ht="15" spans="1:17">
      <c r="A303" s="75"/>
      <c r="F303" s="76"/>
      <c r="G303" s="76"/>
      <c r="H303" s="76"/>
      <c r="I303" s="76"/>
      <c r="J303" s="76"/>
      <c r="K303" s="76"/>
      <c r="L303" s="76"/>
      <c r="M303" s="76"/>
      <c r="N303" s="77"/>
      <c r="Q303" s="78"/>
    </row>
    <row r="304" ht="15" spans="1:17">
      <c r="A304" s="75"/>
      <c r="F304" s="76"/>
      <c r="G304" s="76"/>
      <c r="H304" s="76"/>
      <c r="I304" s="76"/>
      <c r="J304" s="76"/>
      <c r="K304" s="76"/>
      <c r="L304" s="76"/>
      <c r="M304" s="76"/>
      <c r="N304" s="77"/>
      <c r="Q304" s="78"/>
    </row>
    <row r="305" ht="15" spans="1:17">
      <c r="A305" s="75"/>
      <c r="F305" s="76"/>
      <c r="G305" s="76"/>
      <c r="H305" s="76"/>
      <c r="I305" s="76"/>
      <c r="J305" s="76"/>
      <c r="K305" s="76"/>
      <c r="L305" s="76"/>
      <c r="M305" s="76"/>
      <c r="N305" s="77"/>
      <c r="Q305" s="78"/>
    </row>
    <row r="306" ht="15" spans="1:17">
      <c r="A306" s="75"/>
      <c r="F306" s="76"/>
      <c r="G306" s="76"/>
      <c r="H306" s="76"/>
      <c r="I306" s="76"/>
      <c r="J306" s="76"/>
      <c r="K306" s="76"/>
      <c r="L306" s="76"/>
      <c r="M306" s="76"/>
      <c r="N306" s="77"/>
      <c r="Q306" s="78"/>
    </row>
    <row r="307" ht="15" spans="1:17">
      <c r="A307" s="75"/>
      <c r="F307" s="76"/>
      <c r="G307" s="76"/>
      <c r="H307" s="76"/>
      <c r="I307" s="76"/>
      <c r="J307" s="76"/>
      <c r="K307" s="76"/>
      <c r="L307" s="76"/>
      <c r="M307" s="76"/>
      <c r="N307" s="77"/>
      <c r="Q307" s="78"/>
    </row>
    <row r="308" ht="15" spans="1:17">
      <c r="A308" s="75"/>
      <c r="F308" s="76"/>
      <c r="G308" s="76"/>
      <c r="H308" s="76"/>
      <c r="I308" s="76"/>
      <c r="J308" s="76"/>
      <c r="K308" s="76"/>
      <c r="L308" s="76"/>
      <c r="M308" s="76"/>
      <c r="N308" s="77"/>
      <c r="Q308" s="78"/>
    </row>
    <row r="309" ht="15" spans="1:17">
      <c r="A309" s="75"/>
      <c r="F309" s="76"/>
      <c r="G309" s="76"/>
      <c r="H309" s="76"/>
      <c r="I309" s="76"/>
      <c r="J309" s="76"/>
      <c r="K309" s="76"/>
      <c r="L309" s="76"/>
      <c r="M309" s="76"/>
      <c r="N309" s="77"/>
      <c r="Q309" s="78"/>
    </row>
    <row r="310" ht="15" spans="1:17">
      <c r="A310" s="75"/>
      <c r="F310" s="76"/>
      <c r="G310" s="76"/>
      <c r="H310" s="76"/>
      <c r="I310" s="76"/>
      <c r="J310" s="76"/>
      <c r="K310" s="76"/>
      <c r="L310" s="76"/>
      <c r="M310" s="76"/>
      <c r="N310" s="77"/>
      <c r="Q310" s="78"/>
    </row>
    <row r="311" ht="15" spans="1:17">
      <c r="A311" s="75"/>
      <c r="F311" s="76"/>
      <c r="G311" s="76"/>
      <c r="H311" s="76"/>
      <c r="I311" s="76"/>
      <c r="J311" s="76"/>
      <c r="K311" s="76"/>
      <c r="L311" s="76"/>
      <c r="M311" s="76"/>
      <c r="N311" s="77"/>
      <c r="Q311" s="78"/>
    </row>
    <row r="312" ht="15" spans="1:17">
      <c r="A312" s="75"/>
      <c r="F312" s="76"/>
      <c r="G312" s="76"/>
      <c r="H312" s="76"/>
      <c r="I312" s="76"/>
      <c r="J312" s="76"/>
      <c r="K312" s="76"/>
      <c r="L312" s="76"/>
      <c r="M312" s="76"/>
      <c r="N312" s="77"/>
      <c r="Q312" s="78"/>
    </row>
    <row r="313" ht="15" spans="1:17">
      <c r="A313" s="75"/>
      <c r="F313" s="76"/>
      <c r="G313" s="76"/>
      <c r="H313" s="76"/>
      <c r="I313" s="76"/>
      <c r="J313" s="76"/>
      <c r="K313" s="76"/>
      <c r="L313" s="76"/>
      <c r="M313" s="76"/>
      <c r="N313" s="77"/>
      <c r="Q313" s="78"/>
    </row>
    <row r="314" ht="15" spans="1:17">
      <c r="A314" s="75"/>
      <c r="F314" s="76"/>
      <c r="G314" s="76"/>
      <c r="H314" s="76"/>
      <c r="I314" s="76"/>
      <c r="J314" s="76"/>
      <c r="K314" s="76"/>
      <c r="L314" s="76"/>
      <c r="M314" s="76"/>
      <c r="N314" s="77"/>
      <c r="Q314" s="78"/>
    </row>
    <row r="315" ht="15" spans="1:17">
      <c r="A315" s="75"/>
      <c r="F315" s="76"/>
      <c r="G315" s="76"/>
      <c r="H315" s="76"/>
      <c r="I315" s="76"/>
      <c r="J315" s="76"/>
      <c r="K315" s="76"/>
      <c r="L315" s="76"/>
      <c r="M315" s="76"/>
      <c r="N315" s="77"/>
      <c r="Q315" s="78"/>
    </row>
    <row r="316" ht="15" spans="1:17">
      <c r="A316" s="75"/>
      <c r="F316" s="76"/>
      <c r="G316" s="76"/>
      <c r="H316" s="76"/>
      <c r="I316" s="76"/>
      <c r="J316" s="76"/>
      <c r="K316" s="76"/>
      <c r="L316" s="76"/>
      <c r="M316" s="76"/>
      <c r="N316" s="77"/>
      <c r="Q316" s="78"/>
    </row>
    <row r="317" ht="15" spans="1:17">
      <c r="A317" s="75"/>
      <c r="F317" s="76"/>
      <c r="G317" s="76"/>
      <c r="H317" s="76"/>
      <c r="I317" s="76"/>
      <c r="J317" s="76"/>
      <c r="K317" s="76"/>
      <c r="L317" s="76"/>
      <c r="M317" s="76"/>
      <c r="N317" s="77"/>
      <c r="Q317" s="78"/>
    </row>
    <row r="318" ht="15" spans="1:17">
      <c r="A318" s="75"/>
      <c r="F318" s="76"/>
      <c r="G318" s="76"/>
      <c r="H318" s="76"/>
      <c r="I318" s="76"/>
      <c r="J318" s="76"/>
      <c r="K318" s="76"/>
      <c r="L318" s="76"/>
      <c r="M318" s="76"/>
      <c r="N318" s="77"/>
      <c r="Q318" s="78"/>
    </row>
    <row r="319" ht="15" spans="1:17">
      <c r="A319" s="75"/>
      <c r="F319" s="76"/>
      <c r="G319" s="76"/>
      <c r="H319" s="76"/>
      <c r="I319" s="76"/>
      <c r="J319" s="76"/>
      <c r="K319" s="76"/>
      <c r="L319" s="76"/>
      <c r="M319" s="76"/>
      <c r="N319" s="77"/>
      <c r="Q319" s="78"/>
    </row>
    <row r="320" ht="15" spans="1:17">
      <c r="A320" s="75"/>
      <c r="F320" s="76"/>
      <c r="G320" s="76"/>
      <c r="H320" s="76"/>
      <c r="I320" s="76"/>
      <c r="J320" s="76"/>
      <c r="K320" s="76"/>
      <c r="L320" s="76"/>
      <c r="M320" s="76"/>
      <c r="N320" s="77"/>
      <c r="Q320" s="78"/>
    </row>
    <row r="321" ht="15" spans="1:17">
      <c r="A321" s="75"/>
      <c r="F321" s="76"/>
      <c r="G321" s="76"/>
      <c r="H321" s="76"/>
      <c r="I321" s="76"/>
      <c r="J321" s="76"/>
      <c r="K321" s="76"/>
      <c r="L321" s="76"/>
      <c r="M321" s="76"/>
      <c r="N321" s="77"/>
      <c r="Q321" s="78"/>
    </row>
    <row r="322" ht="15" spans="1:17">
      <c r="A322" s="75"/>
      <c r="F322" s="76"/>
      <c r="G322" s="76"/>
      <c r="H322" s="76"/>
      <c r="I322" s="76"/>
      <c r="J322" s="76"/>
      <c r="K322" s="76"/>
      <c r="L322" s="76"/>
      <c r="M322" s="76"/>
      <c r="N322" s="77"/>
      <c r="Q322" s="78"/>
    </row>
    <row r="323" ht="15" spans="1:17">
      <c r="A323" s="75"/>
      <c r="F323" s="76"/>
      <c r="G323" s="76"/>
      <c r="H323" s="76"/>
      <c r="I323" s="76"/>
      <c r="J323" s="76"/>
      <c r="K323" s="76"/>
      <c r="L323" s="76"/>
      <c r="M323" s="76"/>
      <c r="N323" s="77"/>
      <c r="Q323" s="78"/>
    </row>
    <row r="324" ht="15" spans="1:17">
      <c r="A324" s="75"/>
      <c r="F324" s="76"/>
      <c r="G324" s="76"/>
      <c r="H324" s="76"/>
      <c r="I324" s="76"/>
      <c r="J324" s="76"/>
      <c r="K324" s="76"/>
      <c r="L324" s="76"/>
      <c r="M324" s="76"/>
      <c r="N324" s="77"/>
      <c r="Q324" s="78"/>
    </row>
    <row r="325" ht="15" spans="1:17">
      <c r="A325" s="75"/>
      <c r="F325" s="76"/>
      <c r="G325" s="76"/>
      <c r="H325" s="76"/>
      <c r="I325" s="76"/>
      <c r="J325" s="76"/>
      <c r="K325" s="76"/>
      <c r="L325" s="76"/>
      <c r="M325" s="76"/>
      <c r="N325" s="77"/>
      <c r="Q325" s="78"/>
    </row>
    <row r="326" ht="15" spans="1:17">
      <c r="A326" s="75"/>
      <c r="F326" s="76"/>
      <c r="G326" s="76"/>
      <c r="H326" s="76"/>
      <c r="I326" s="76"/>
      <c r="J326" s="76"/>
      <c r="K326" s="76"/>
      <c r="L326" s="76"/>
      <c r="M326" s="76"/>
      <c r="N326" s="77"/>
      <c r="Q326" s="78"/>
    </row>
    <row r="327" ht="15" spans="1:17">
      <c r="A327" s="75"/>
      <c r="F327" s="76"/>
      <c r="G327" s="76"/>
      <c r="H327" s="76"/>
      <c r="I327" s="76"/>
      <c r="J327" s="76"/>
      <c r="K327" s="76"/>
      <c r="L327" s="76"/>
      <c r="M327" s="76"/>
      <c r="N327" s="77"/>
      <c r="Q327" s="78"/>
    </row>
    <row r="328" ht="15" spans="1:17">
      <c r="A328" s="75"/>
      <c r="F328" s="76"/>
      <c r="G328" s="76"/>
      <c r="H328" s="76"/>
      <c r="I328" s="76"/>
      <c r="J328" s="76"/>
      <c r="K328" s="76"/>
      <c r="L328" s="76"/>
      <c r="M328" s="76"/>
      <c r="N328" s="77"/>
      <c r="Q328" s="78"/>
    </row>
    <row r="329" ht="15" spans="1:17">
      <c r="A329" s="75"/>
      <c r="F329" s="76"/>
      <c r="G329" s="76"/>
      <c r="H329" s="76"/>
      <c r="I329" s="76"/>
      <c r="J329" s="76"/>
      <c r="K329" s="76"/>
      <c r="L329" s="76"/>
      <c r="M329" s="76"/>
      <c r="N329" s="77"/>
      <c r="Q329" s="78"/>
    </row>
    <row r="330" ht="15" spans="1:17">
      <c r="A330" s="75"/>
      <c r="F330" s="76"/>
      <c r="G330" s="76"/>
      <c r="H330" s="76"/>
      <c r="I330" s="76"/>
      <c r="J330" s="76"/>
      <c r="K330" s="76"/>
      <c r="L330" s="76"/>
      <c r="M330" s="76"/>
      <c r="N330" s="77"/>
      <c r="Q330" s="78"/>
    </row>
    <row r="331" ht="15" spans="1:17">
      <c r="A331" s="75"/>
      <c r="F331" s="76"/>
      <c r="G331" s="76"/>
      <c r="H331" s="76"/>
      <c r="I331" s="76"/>
      <c r="J331" s="76"/>
      <c r="K331" s="76"/>
      <c r="L331" s="76"/>
      <c r="M331" s="76"/>
      <c r="N331" s="77"/>
      <c r="Q331" s="78"/>
    </row>
    <row r="332" ht="15" spans="1:17">
      <c r="A332" s="75"/>
      <c r="F332" s="76"/>
      <c r="G332" s="76"/>
      <c r="H332" s="76"/>
      <c r="I332" s="76"/>
      <c r="J332" s="76"/>
      <c r="K332" s="76"/>
      <c r="L332" s="76"/>
      <c r="M332" s="76"/>
      <c r="N332" s="77"/>
      <c r="Q332" s="78"/>
    </row>
    <row r="333" ht="15" spans="1:17">
      <c r="A333" s="75"/>
      <c r="F333" s="76"/>
      <c r="G333" s="76"/>
      <c r="H333" s="76"/>
      <c r="I333" s="76"/>
      <c r="J333" s="76"/>
      <c r="K333" s="76"/>
      <c r="L333" s="76"/>
      <c r="M333" s="76"/>
      <c r="N333" s="77"/>
      <c r="Q333" s="78"/>
    </row>
    <row r="334" ht="15" spans="1:17">
      <c r="A334" s="75"/>
      <c r="F334" s="76"/>
      <c r="G334" s="76"/>
      <c r="H334" s="76"/>
      <c r="I334" s="76"/>
      <c r="J334" s="76"/>
      <c r="K334" s="76"/>
      <c r="L334" s="76"/>
      <c r="M334" s="76"/>
      <c r="N334" s="77"/>
      <c r="Q334" s="78"/>
    </row>
    <row r="335" ht="15" spans="1:17">
      <c r="A335" s="75"/>
      <c r="F335" s="76"/>
      <c r="G335" s="76"/>
      <c r="H335" s="76"/>
      <c r="I335" s="76"/>
      <c r="J335" s="76"/>
      <c r="K335" s="76"/>
      <c r="L335" s="76"/>
      <c r="M335" s="76"/>
      <c r="N335" s="77"/>
      <c r="Q335" s="78"/>
    </row>
    <row r="336" ht="15" spans="1:17">
      <c r="A336" s="75"/>
      <c r="F336" s="76"/>
      <c r="G336" s="76"/>
      <c r="H336" s="76"/>
      <c r="I336" s="76"/>
      <c r="J336" s="76"/>
      <c r="K336" s="76"/>
      <c r="L336" s="76"/>
      <c r="M336" s="76"/>
      <c r="N336" s="77"/>
      <c r="Q336" s="78"/>
    </row>
    <row r="337" ht="15" spans="1:17">
      <c r="A337" s="75"/>
      <c r="F337" s="76"/>
      <c r="G337" s="76"/>
      <c r="H337" s="76"/>
      <c r="I337" s="76"/>
      <c r="J337" s="76"/>
      <c r="K337" s="76"/>
      <c r="L337" s="76"/>
      <c r="M337" s="76"/>
      <c r="N337" s="77"/>
      <c r="Q337" s="78"/>
    </row>
    <row r="338" ht="15" spans="1:17">
      <c r="A338" s="75"/>
      <c r="F338" s="76"/>
      <c r="G338" s="76"/>
      <c r="H338" s="76"/>
      <c r="I338" s="76"/>
      <c r="J338" s="76"/>
      <c r="K338" s="76"/>
      <c r="L338" s="76"/>
      <c r="M338" s="76"/>
      <c r="N338" s="77"/>
      <c r="Q338" s="78"/>
    </row>
    <row r="339" ht="15" spans="1:17">
      <c r="A339" s="75"/>
      <c r="F339" s="76"/>
      <c r="G339" s="76"/>
      <c r="H339" s="76"/>
      <c r="I339" s="76"/>
      <c r="J339" s="76"/>
      <c r="K339" s="76"/>
      <c r="L339" s="76"/>
      <c r="M339" s="76"/>
      <c r="N339" s="77"/>
      <c r="Q339" s="78"/>
    </row>
    <row r="340" ht="15" spans="1:17">
      <c r="A340" s="75"/>
      <c r="F340" s="76"/>
      <c r="G340" s="76"/>
      <c r="H340" s="76"/>
      <c r="I340" s="76"/>
      <c r="J340" s="76"/>
      <c r="K340" s="76"/>
      <c r="L340" s="76"/>
      <c r="M340" s="76"/>
      <c r="N340" s="77"/>
      <c r="Q340" s="78"/>
    </row>
    <row r="341" ht="15" spans="1:17">
      <c r="A341" s="75"/>
      <c r="F341" s="76"/>
      <c r="G341" s="76"/>
      <c r="H341" s="76"/>
      <c r="I341" s="76"/>
      <c r="J341" s="76"/>
      <c r="K341" s="76"/>
      <c r="L341" s="76"/>
      <c r="M341" s="76"/>
      <c r="N341" s="77"/>
      <c r="Q341" s="78"/>
    </row>
    <row r="342" ht="15" spans="1:17">
      <c r="A342" s="75"/>
      <c r="F342" s="76"/>
      <c r="G342" s="76"/>
      <c r="H342" s="76"/>
      <c r="I342" s="76"/>
      <c r="J342" s="76"/>
      <c r="K342" s="76"/>
      <c r="L342" s="76"/>
      <c r="M342" s="76"/>
      <c r="N342" s="77"/>
      <c r="Q342" s="78"/>
    </row>
    <row r="343" ht="15" spans="1:17">
      <c r="A343" s="75"/>
      <c r="F343" s="76"/>
      <c r="G343" s="76"/>
      <c r="H343" s="76"/>
      <c r="I343" s="76"/>
      <c r="J343" s="76"/>
      <c r="K343" s="76"/>
      <c r="L343" s="76"/>
      <c r="M343" s="76"/>
      <c r="N343" s="77"/>
      <c r="Q343" s="78"/>
    </row>
    <row r="344" ht="15" spans="1:17">
      <c r="A344" s="75"/>
      <c r="F344" s="76"/>
      <c r="G344" s="76"/>
      <c r="H344" s="76"/>
      <c r="I344" s="76"/>
      <c r="J344" s="76"/>
      <c r="K344" s="76"/>
      <c r="L344" s="76"/>
      <c r="M344" s="76"/>
      <c r="N344" s="77"/>
      <c r="Q344" s="78"/>
    </row>
    <row r="345" ht="15" spans="1:17">
      <c r="A345" s="75"/>
      <c r="F345" s="76"/>
      <c r="G345" s="76"/>
      <c r="H345" s="76"/>
      <c r="I345" s="76"/>
      <c r="J345" s="76"/>
      <c r="K345" s="76"/>
      <c r="L345" s="76"/>
      <c r="M345" s="76"/>
      <c r="N345" s="77"/>
      <c r="Q345" s="78"/>
    </row>
    <row r="346" ht="15" spans="1:17">
      <c r="A346" s="75"/>
      <c r="F346" s="76"/>
      <c r="G346" s="76"/>
      <c r="H346" s="76"/>
      <c r="I346" s="76"/>
      <c r="J346" s="76"/>
      <c r="K346" s="76"/>
      <c r="L346" s="76"/>
      <c r="M346" s="76"/>
      <c r="N346" s="77"/>
      <c r="Q346" s="78"/>
    </row>
    <row r="347" ht="15" spans="1:17">
      <c r="A347" s="75"/>
      <c r="F347" s="76"/>
      <c r="G347" s="76"/>
      <c r="H347" s="76"/>
      <c r="I347" s="76"/>
      <c r="J347" s="76"/>
      <c r="K347" s="76"/>
      <c r="L347" s="76"/>
      <c r="M347" s="76"/>
      <c r="N347" s="77"/>
      <c r="Q347" s="78"/>
    </row>
    <row r="348" ht="15" spans="1:17">
      <c r="A348" s="75"/>
      <c r="F348" s="76"/>
      <c r="G348" s="76"/>
      <c r="H348" s="76"/>
      <c r="I348" s="76"/>
      <c r="J348" s="76"/>
      <c r="K348" s="76"/>
      <c r="L348" s="76"/>
      <c r="M348" s="76"/>
      <c r="N348" s="77"/>
      <c r="Q348" s="78"/>
    </row>
    <row r="349" ht="15" spans="1:17">
      <c r="A349" s="75"/>
      <c r="F349" s="76"/>
      <c r="G349" s="76"/>
      <c r="H349" s="76"/>
      <c r="I349" s="76"/>
      <c r="J349" s="76"/>
      <c r="K349" s="76"/>
      <c r="L349" s="76"/>
      <c r="M349" s="76"/>
      <c r="N349" s="77"/>
      <c r="Q349" s="78"/>
    </row>
    <row r="350" ht="15" spans="1:17">
      <c r="A350" s="75"/>
      <c r="F350" s="76"/>
      <c r="G350" s="76"/>
      <c r="H350" s="76"/>
      <c r="I350" s="76"/>
      <c r="J350" s="76"/>
      <c r="K350" s="76"/>
      <c r="L350" s="76"/>
      <c r="M350" s="76"/>
      <c r="N350" s="77"/>
      <c r="Q350" s="78"/>
    </row>
    <row r="351" ht="15" spans="1:17">
      <c r="A351" s="75"/>
      <c r="F351" s="76"/>
      <c r="G351" s="76"/>
      <c r="H351" s="76"/>
      <c r="I351" s="76"/>
      <c r="J351" s="76"/>
      <c r="K351" s="76"/>
      <c r="L351" s="76"/>
      <c r="M351" s="76"/>
      <c r="N351" s="77"/>
      <c r="Q351" s="78"/>
    </row>
    <row r="352" ht="15" spans="1:17">
      <c r="A352" s="75"/>
      <c r="F352" s="76"/>
      <c r="G352" s="76"/>
      <c r="H352" s="76"/>
      <c r="I352" s="76"/>
      <c r="J352" s="76"/>
      <c r="K352" s="76"/>
      <c r="L352" s="76"/>
      <c r="M352" s="76"/>
      <c r="N352" s="77"/>
      <c r="Q352" s="78"/>
    </row>
    <row r="353" ht="15" spans="1:17">
      <c r="A353" s="75"/>
      <c r="F353" s="76"/>
      <c r="G353" s="76"/>
      <c r="H353" s="76"/>
      <c r="I353" s="76"/>
      <c r="J353" s="76"/>
      <c r="K353" s="76"/>
      <c r="L353" s="76"/>
      <c r="M353" s="76"/>
      <c r="N353" s="77"/>
      <c r="Q353" s="78"/>
    </row>
    <row r="354" ht="15" spans="1:17">
      <c r="A354" s="75"/>
      <c r="F354" s="76"/>
      <c r="G354" s="76"/>
      <c r="H354" s="76"/>
      <c r="I354" s="76"/>
      <c r="J354" s="76"/>
      <c r="K354" s="76"/>
      <c r="L354" s="76"/>
      <c r="M354" s="76"/>
      <c r="N354" s="77"/>
      <c r="Q354" s="78"/>
    </row>
    <row r="355" ht="15" spans="1:17">
      <c r="A355" s="75"/>
      <c r="F355" s="76"/>
      <c r="G355" s="76"/>
      <c r="H355" s="76"/>
      <c r="I355" s="76"/>
      <c r="J355" s="76"/>
      <c r="K355" s="76"/>
      <c r="L355" s="76"/>
      <c r="M355" s="76"/>
      <c r="N355" s="77"/>
      <c r="Q355" s="78"/>
    </row>
    <row r="356" ht="15" spans="1:17">
      <c r="A356" s="75"/>
      <c r="F356" s="76"/>
      <c r="G356" s="76"/>
      <c r="H356" s="76"/>
      <c r="I356" s="76"/>
      <c r="J356" s="76"/>
      <c r="K356" s="76"/>
      <c r="L356" s="76"/>
      <c r="M356" s="76"/>
      <c r="N356" s="77"/>
      <c r="Q356" s="78"/>
    </row>
    <row r="357" ht="15" spans="1:17">
      <c r="A357" s="75"/>
      <c r="F357" s="76"/>
      <c r="G357" s="76"/>
      <c r="H357" s="76"/>
      <c r="I357" s="76"/>
      <c r="J357" s="76"/>
      <c r="K357" s="76"/>
      <c r="L357" s="76"/>
      <c r="M357" s="76"/>
      <c r="N357" s="77"/>
      <c r="Q357" s="78"/>
    </row>
    <row r="358" ht="15" spans="1:17">
      <c r="A358" s="75"/>
      <c r="F358" s="76"/>
      <c r="G358" s="76"/>
      <c r="H358" s="76"/>
      <c r="I358" s="76"/>
      <c r="J358" s="76"/>
      <c r="K358" s="76"/>
      <c r="L358" s="76"/>
      <c r="M358" s="76"/>
      <c r="N358" s="77"/>
      <c r="Q358" s="78"/>
    </row>
    <row r="359" ht="15" spans="1:17">
      <c r="A359" s="75"/>
      <c r="F359" s="76"/>
      <c r="G359" s="76"/>
      <c r="H359" s="76"/>
      <c r="I359" s="76"/>
      <c r="J359" s="76"/>
      <c r="K359" s="76"/>
      <c r="L359" s="76"/>
      <c r="M359" s="76"/>
      <c r="N359" s="77"/>
      <c r="Q359" s="78"/>
    </row>
    <row r="360" ht="15" spans="1:17">
      <c r="A360" s="75"/>
      <c r="F360" s="76"/>
      <c r="G360" s="76"/>
      <c r="H360" s="76"/>
      <c r="I360" s="76"/>
      <c r="J360" s="76"/>
      <c r="K360" s="76"/>
      <c r="L360" s="76"/>
      <c r="M360" s="76"/>
      <c r="N360" s="77"/>
      <c r="Q360" s="78"/>
    </row>
    <row r="361" ht="15" spans="1:17">
      <c r="A361" s="75"/>
      <c r="F361" s="76"/>
      <c r="G361" s="76"/>
      <c r="H361" s="76"/>
      <c r="I361" s="76"/>
      <c r="J361" s="76"/>
      <c r="K361" s="76"/>
      <c r="L361" s="76"/>
      <c r="M361" s="76"/>
      <c r="N361" s="77"/>
      <c r="Q361" s="78"/>
    </row>
    <row r="362" ht="15" spans="1:17">
      <c r="A362" s="75"/>
      <c r="F362" s="76"/>
      <c r="G362" s="76"/>
      <c r="H362" s="76"/>
      <c r="I362" s="76"/>
      <c r="J362" s="76"/>
      <c r="K362" s="76"/>
      <c r="L362" s="76"/>
      <c r="M362" s="76"/>
      <c r="N362" s="77"/>
      <c r="Q362" s="78"/>
    </row>
    <row r="363" ht="15" spans="1:17">
      <c r="A363" s="75"/>
      <c r="F363" s="76"/>
      <c r="G363" s="76"/>
      <c r="H363" s="76"/>
      <c r="I363" s="76"/>
      <c r="J363" s="76"/>
      <c r="K363" s="76"/>
      <c r="L363" s="76"/>
      <c r="M363" s="76"/>
      <c r="N363" s="77"/>
      <c r="Q363" s="78"/>
    </row>
    <row r="364" ht="15" spans="1:17">
      <c r="A364" s="75"/>
      <c r="F364" s="76"/>
      <c r="G364" s="76"/>
      <c r="H364" s="76"/>
      <c r="I364" s="76"/>
      <c r="J364" s="76"/>
      <c r="K364" s="76"/>
      <c r="L364" s="76"/>
      <c r="M364" s="76"/>
      <c r="N364" s="77"/>
      <c r="Q364" s="78"/>
    </row>
    <row r="365" ht="15" spans="1:17">
      <c r="A365" s="75"/>
      <c r="F365" s="76"/>
      <c r="G365" s="76"/>
      <c r="H365" s="76"/>
      <c r="I365" s="76"/>
      <c r="J365" s="76"/>
      <c r="K365" s="76"/>
      <c r="L365" s="76"/>
      <c r="M365" s="76"/>
      <c r="N365" s="77"/>
      <c r="Q365" s="78"/>
    </row>
    <row r="366" ht="15" spans="1:17">
      <c r="A366" s="75"/>
      <c r="F366" s="76"/>
      <c r="G366" s="76"/>
      <c r="H366" s="76"/>
      <c r="I366" s="76"/>
      <c r="J366" s="76"/>
      <c r="K366" s="76"/>
      <c r="L366" s="76"/>
      <c r="M366" s="76"/>
      <c r="N366" s="77"/>
      <c r="Q366" s="78"/>
    </row>
    <row r="367" ht="15" spans="1:17">
      <c r="A367" s="75"/>
      <c r="F367" s="76"/>
      <c r="G367" s="76"/>
      <c r="H367" s="76"/>
      <c r="I367" s="76"/>
      <c r="J367" s="76"/>
      <c r="K367" s="76"/>
      <c r="L367" s="76"/>
      <c r="M367" s="76"/>
      <c r="N367" s="77"/>
      <c r="Q367" s="78"/>
    </row>
    <row r="368" ht="15" spans="1:17">
      <c r="A368" s="75"/>
      <c r="F368" s="76"/>
      <c r="G368" s="76"/>
      <c r="H368" s="76"/>
      <c r="I368" s="76"/>
      <c r="J368" s="76"/>
      <c r="K368" s="76"/>
      <c r="L368" s="76"/>
      <c r="M368" s="76"/>
      <c r="N368" s="77"/>
      <c r="Q368" s="78"/>
    </row>
    <row r="369" ht="15" spans="1:17">
      <c r="A369" s="75"/>
      <c r="F369" s="76"/>
      <c r="G369" s="76"/>
      <c r="H369" s="76"/>
      <c r="I369" s="76"/>
      <c r="J369" s="76"/>
      <c r="K369" s="76"/>
      <c r="L369" s="76"/>
      <c r="M369" s="76"/>
      <c r="N369" s="77"/>
      <c r="Q369" s="78"/>
    </row>
    <row r="370" ht="15" spans="1:17">
      <c r="A370" s="75"/>
      <c r="F370" s="76"/>
      <c r="G370" s="76"/>
      <c r="H370" s="76"/>
      <c r="I370" s="76"/>
      <c r="J370" s="76"/>
      <c r="K370" s="76"/>
      <c r="L370" s="76"/>
      <c r="M370" s="76"/>
      <c r="N370" s="77"/>
      <c r="Q370" s="78"/>
    </row>
    <row r="371" ht="15" spans="1:17">
      <c r="A371" s="75"/>
      <c r="F371" s="76"/>
      <c r="G371" s="76"/>
      <c r="H371" s="76"/>
      <c r="I371" s="76"/>
      <c r="J371" s="76"/>
      <c r="K371" s="76"/>
      <c r="L371" s="76"/>
      <c r="M371" s="76"/>
      <c r="N371" s="77"/>
      <c r="Q371" s="78"/>
    </row>
    <row r="372" ht="15" spans="1:17">
      <c r="A372" s="75"/>
      <c r="F372" s="76"/>
      <c r="G372" s="76"/>
      <c r="H372" s="76"/>
      <c r="I372" s="76"/>
      <c r="J372" s="76"/>
      <c r="K372" s="76"/>
      <c r="L372" s="76"/>
      <c r="M372" s="76"/>
      <c r="N372" s="77"/>
      <c r="Q372" s="78"/>
    </row>
    <row r="373" ht="15" spans="1:17">
      <c r="A373" s="75"/>
      <c r="F373" s="76"/>
      <c r="G373" s="76"/>
      <c r="H373" s="76"/>
      <c r="I373" s="76"/>
      <c r="J373" s="76"/>
      <c r="K373" s="76"/>
      <c r="L373" s="76"/>
      <c r="M373" s="76"/>
      <c r="N373" s="77"/>
      <c r="Q373" s="78"/>
    </row>
    <row r="374" ht="15" spans="1:17">
      <c r="A374" s="75"/>
      <c r="F374" s="76"/>
      <c r="G374" s="76"/>
      <c r="H374" s="76"/>
      <c r="I374" s="76"/>
      <c r="J374" s="76"/>
      <c r="K374" s="76"/>
      <c r="L374" s="76"/>
      <c r="M374" s="76"/>
      <c r="N374" s="77"/>
      <c r="Q374" s="78"/>
    </row>
    <row r="375" ht="15" spans="1:17">
      <c r="A375" s="75"/>
      <c r="F375" s="76"/>
      <c r="G375" s="76"/>
      <c r="H375" s="76"/>
      <c r="I375" s="76"/>
      <c r="J375" s="76"/>
      <c r="K375" s="76"/>
      <c r="L375" s="76"/>
      <c r="M375" s="76"/>
      <c r="N375" s="77"/>
      <c r="Q375" s="78"/>
    </row>
    <row r="376" ht="15" spans="1:17">
      <c r="A376" s="75"/>
      <c r="F376" s="76"/>
      <c r="G376" s="76"/>
      <c r="H376" s="76"/>
      <c r="I376" s="76"/>
      <c r="J376" s="76"/>
      <c r="K376" s="76"/>
      <c r="L376" s="76"/>
      <c r="M376" s="76"/>
      <c r="N376" s="77"/>
      <c r="Q376" s="78"/>
    </row>
    <row r="377" ht="15" spans="1:17">
      <c r="A377" s="75"/>
      <c r="F377" s="76"/>
      <c r="G377" s="76"/>
      <c r="H377" s="76"/>
      <c r="I377" s="76"/>
      <c r="J377" s="76"/>
      <c r="K377" s="76"/>
      <c r="L377" s="76"/>
      <c r="M377" s="76"/>
      <c r="N377" s="77"/>
      <c r="Q377" s="78"/>
    </row>
    <row r="378" ht="15" spans="1:17">
      <c r="A378" s="75"/>
      <c r="F378" s="76"/>
      <c r="G378" s="76"/>
      <c r="H378" s="76"/>
      <c r="I378" s="76"/>
      <c r="J378" s="76"/>
      <c r="K378" s="76"/>
      <c r="L378" s="76"/>
      <c r="M378" s="76"/>
      <c r="N378" s="77"/>
      <c r="Q378" s="78"/>
    </row>
    <row r="379" ht="15" spans="1:17">
      <c r="A379" s="75"/>
      <c r="F379" s="76"/>
      <c r="G379" s="76"/>
      <c r="H379" s="76"/>
      <c r="I379" s="76"/>
      <c r="J379" s="76"/>
      <c r="K379" s="76"/>
      <c r="L379" s="76"/>
      <c r="M379" s="76"/>
      <c r="N379" s="77"/>
      <c r="Q379" s="78"/>
    </row>
    <row r="380" ht="15" spans="1:17">
      <c r="A380" s="75"/>
      <c r="F380" s="76"/>
      <c r="G380" s="76"/>
      <c r="H380" s="76"/>
      <c r="I380" s="76"/>
      <c r="J380" s="76"/>
      <c r="K380" s="76"/>
      <c r="L380" s="76"/>
      <c r="M380" s="76"/>
      <c r="N380" s="77"/>
      <c r="Q380" s="78"/>
    </row>
    <row r="381" ht="15" spans="1:17">
      <c r="A381" s="75"/>
      <c r="F381" s="76"/>
      <c r="G381" s="76"/>
      <c r="H381" s="76"/>
      <c r="I381" s="76"/>
      <c r="J381" s="76"/>
      <c r="K381" s="76"/>
      <c r="L381" s="76"/>
      <c r="M381" s="76"/>
      <c r="N381" s="77"/>
      <c r="Q381" s="78"/>
    </row>
    <row r="382" ht="15" spans="1:17">
      <c r="A382" s="75"/>
      <c r="F382" s="76"/>
      <c r="G382" s="76"/>
      <c r="H382" s="76"/>
      <c r="I382" s="76"/>
      <c r="J382" s="76"/>
      <c r="K382" s="76"/>
      <c r="L382" s="76"/>
      <c r="M382" s="76"/>
      <c r="N382" s="77"/>
      <c r="Q382" s="78"/>
    </row>
    <row r="383" ht="15" spans="1:17">
      <c r="A383" s="75"/>
      <c r="F383" s="76"/>
      <c r="G383" s="76"/>
      <c r="H383" s="76"/>
      <c r="I383" s="76"/>
      <c r="J383" s="76"/>
      <c r="K383" s="76"/>
      <c r="L383" s="76"/>
      <c r="M383" s="76"/>
      <c r="N383" s="77"/>
      <c r="Q383" s="78"/>
    </row>
    <row r="384" ht="15" spans="1:17">
      <c r="A384" s="75"/>
      <c r="F384" s="76"/>
      <c r="G384" s="76"/>
      <c r="H384" s="76"/>
      <c r="I384" s="76"/>
      <c r="J384" s="76"/>
      <c r="K384" s="76"/>
      <c r="L384" s="76"/>
      <c r="M384" s="76"/>
      <c r="N384" s="77"/>
      <c r="Q384" s="78"/>
    </row>
    <row r="385" ht="15" spans="1:17">
      <c r="A385" s="75"/>
      <c r="F385" s="76"/>
      <c r="G385" s="76"/>
      <c r="H385" s="76"/>
      <c r="I385" s="76"/>
      <c r="J385" s="76"/>
      <c r="K385" s="76"/>
      <c r="L385" s="76"/>
      <c r="M385" s="76"/>
      <c r="N385" s="77"/>
      <c r="Q385" s="78"/>
    </row>
    <row r="386" ht="15" spans="1:17">
      <c r="A386" s="75"/>
      <c r="F386" s="76"/>
      <c r="G386" s="76"/>
      <c r="H386" s="76"/>
      <c r="I386" s="76"/>
      <c r="J386" s="76"/>
      <c r="K386" s="76"/>
      <c r="L386" s="76"/>
      <c r="M386" s="76"/>
      <c r="N386" s="77"/>
      <c r="Q386" s="78"/>
    </row>
    <row r="387" ht="15" spans="1:17">
      <c r="A387" s="75"/>
      <c r="F387" s="76"/>
      <c r="G387" s="76"/>
      <c r="H387" s="76"/>
      <c r="I387" s="76"/>
      <c r="J387" s="76"/>
      <c r="K387" s="76"/>
      <c r="L387" s="76"/>
      <c r="M387" s="76"/>
      <c r="N387" s="77"/>
      <c r="Q387" s="78"/>
    </row>
    <row r="388" ht="15" spans="1:17">
      <c r="A388" s="75"/>
      <c r="F388" s="76"/>
      <c r="G388" s="76"/>
      <c r="H388" s="76"/>
      <c r="I388" s="76"/>
      <c r="J388" s="76"/>
      <c r="K388" s="76"/>
      <c r="L388" s="76"/>
      <c r="M388" s="76"/>
      <c r="N388" s="77"/>
      <c r="Q388" s="78"/>
    </row>
    <row r="389" ht="15" spans="1:17">
      <c r="A389" s="75"/>
      <c r="F389" s="76"/>
      <c r="G389" s="76"/>
      <c r="H389" s="76"/>
      <c r="I389" s="76"/>
      <c r="J389" s="76"/>
      <c r="K389" s="76"/>
      <c r="L389" s="76"/>
      <c r="M389" s="76"/>
      <c r="N389" s="77"/>
      <c r="Q389" s="78"/>
    </row>
    <row r="390" ht="15" spans="1:17">
      <c r="A390" s="75"/>
      <c r="F390" s="76"/>
      <c r="G390" s="76"/>
      <c r="H390" s="76"/>
      <c r="I390" s="76"/>
      <c r="J390" s="76"/>
      <c r="K390" s="76"/>
      <c r="L390" s="76"/>
      <c r="M390" s="76"/>
      <c r="N390" s="77"/>
      <c r="Q390" s="78"/>
    </row>
    <row r="391" ht="15" spans="1:17">
      <c r="A391" s="75"/>
      <c r="F391" s="76"/>
      <c r="G391" s="76"/>
      <c r="H391" s="76"/>
      <c r="I391" s="76"/>
      <c r="J391" s="76"/>
      <c r="K391" s="76"/>
      <c r="L391" s="76"/>
      <c r="M391" s="76"/>
      <c r="N391" s="77"/>
      <c r="Q391" s="78"/>
    </row>
    <row r="392" ht="15" spans="1:17">
      <c r="A392" s="75"/>
      <c r="F392" s="76"/>
      <c r="G392" s="76"/>
      <c r="H392" s="76"/>
      <c r="I392" s="76"/>
      <c r="J392" s="76"/>
      <c r="K392" s="76"/>
      <c r="L392" s="76"/>
      <c r="M392" s="76"/>
      <c r="N392" s="77"/>
      <c r="Q392" s="78"/>
    </row>
    <row r="393" ht="15" spans="1:17">
      <c r="A393" s="75"/>
      <c r="F393" s="76"/>
      <c r="G393" s="76"/>
      <c r="H393" s="76"/>
      <c r="I393" s="76"/>
      <c r="J393" s="76"/>
      <c r="K393" s="76"/>
      <c r="L393" s="76"/>
      <c r="M393" s="76"/>
      <c r="N393" s="77"/>
      <c r="Q393" s="78"/>
    </row>
    <row r="394" ht="15" spans="1:17">
      <c r="A394" s="75"/>
      <c r="F394" s="76"/>
      <c r="G394" s="76"/>
      <c r="H394" s="76"/>
      <c r="I394" s="76"/>
      <c r="J394" s="76"/>
      <c r="K394" s="76"/>
      <c r="L394" s="76"/>
      <c r="M394" s="76"/>
      <c r="N394" s="77"/>
      <c r="Q394" s="78"/>
    </row>
    <row r="395" ht="15" spans="1:17">
      <c r="A395" s="75"/>
      <c r="F395" s="76"/>
      <c r="G395" s="76"/>
      <c r="H395" s="76"/>
      <c r="I395" s="76"/>
      <c r="J395" s="76"/>
      <c r="K395" s="76"/>
      <c r="L395" s="76"/>
      <c r="M395" s="76"/>
      <c r="N395" s="77"/>
      <c r="Q395" s="78"/>
    </row>
    <row r="396" ht="15" spans="1:17">
      <c r="A396" s="75"/>
      <c r="F396" s="76"/>
      <c r="G396" s="76"/>
      <c r="H396" s="76"/>
      <c r="I396" s="76"/>
      <c r="J396" s="76"/>
      <c r="K396" s="76"/>
      <c r="L396" s="76"/>
      <c r="M396" s="76"/>
      <c r="N396" s="77"/>
      <c r="Q396" s="78"/>
    </row>
    <row r="397" ht="15" spans="1:17">
      <c r="A397" s="75"/>
      <c r="F397" s="76"/>
      <c r="G397" s="76"/>
      <c r="H397" s="76"/>
      <c r="I397" s="76"/>
      <c r="J397" s="76"/>
      <c r="K397" s="76"/>
      <c r="L397" s="76"/>
      <c r="M397" s="76"/>
      <c r="N397" s="77"/>
      <c r="Q397" s="78"/>
    </row>
    <row r="398" ht="15" spans="1:17">
      <c r="A398" s="75"/>
      <c r="F398" s="76"/>
      <c r="G398" s="76"/>
      <c r="H398" s="76"/>
      <c r="I398" s="76"/>
      <c r="J398" s="76"/>
      <c r="K398" s="76"/>
      <c r="L398" s="76"/>
      <c r="M398" s="76"/>
      <c r="N398" s="77"/>
      <c r="Q398" s="78"/>
    </row>
    <row r="399" ht="15" spans="1:17">
      <c r="A399" s="75"/>
      <c r="F399" s="76"/>
      <c r="G399" s="76"/>
      <c r="H399" s="76"/>
      <c r="I399" s="76"/>
      <c r="J399" s="76"/>
      <c r="K399" s="76"/>
      <c r="L399" s="76"/>
      <c r="M399" s="76"/>
      <c r="N399" s="77"/>
      <c r="Q399" s="78"/>
    </row>
    <row r="400" ht="15" spans="1:17">
      <c r="A400" s="75"/>
      <c r="F400" s="76"/>
      <c r="G400" s="76"/>
      <c r="H400" s="76"/>
      <c r="I400" s="76"/>
      <c r="J400" s="76"/>
      <c r="K400" s="76"/>
      <c r="L400" s="76"/>
      <c r="M400" s="76"/>
      <c r="N400" s="77"/>
      <c r="Q400" s="78"/>
    </row>
    <row r="401" ht="15" spans="1:17">
      <c r="A401" s="75"/>
      <c r="F401" s="76"/>
      <c r="G401" s="76"/>
      <c r="H401" s="76"/>
      <c r="I401" s="76"/>
      <c r="J401" s="76"/>
      <c r="K401" s="76"/>
      <c r="L401" s="76"/>
      <c r="M401" s="76"/>
      <c r="N401" s="77"/>
      <c r="Q401" s="78"/>
    </row>
    <row r="402" ht="15" spans="1:17">
      <c r="A402" s="75"/>
      <c r="F402" s="76"/>
      <c r="G402" s="76"/>
      <c r="H402" s="76"/>
      <c r="I402" s="76"/>
      <c r="J402" s="76"/>
      <c r="K402" s="76"/>
      <c r="L402" s="76"/>
      <c r="M402" s="76"/>
      <c r="N402" s="77"/>
      <c r="Q402" s="78"/>
    </row>
    <row r="403" ht="15" spans="1:17">
      <c r="A403" s="75"/>
      <c r="F403" s="76"/>
      <c r="G403" s="76"/>
      <c r="H403" s="76"/>
      <c r="I403" s="76"/>
      <c r="J403" s="76"/>
      <c r="K403" s="76"/>
      <c r="L403" s="76"/>
      <c r="M403" s="76"/>
      <c r="N403" s="77"/>
      <c r="Q403" s="78"/>
    </row>
    <row r="404" ht="15" spans="1:17">
      <c r="A404" s="75"/>
      <c r="F404" s="76"/>
      <c r="G404" s="76"/>
      <c r="H404" s="76"/>
      <c r="I404" s="76"/>
      <c r="J404" s="76"/>
      <c r="K404" s="76"/>
      <c r="L404" s="76"/>
      <c r="M404" s="76"/>
      <c r="N404" s="77"/>
      <c r="Q404" s="78"/>
    </row>
    <row r="405" ht="15" spans="1:17">
      <c r="A405" s="75"/>
      <c r="F405" s="76"/>
      <c r="G405" s="76"/>
      <c r="H405" s="76"/>
      <c r="I405" s="76"/>
      <c r="J405" s="76"/>
      <c r="K405" s="76"/>
      <c r="L405" s="76"/>
      <c r="M405" s="76"/>
      <c r="N405" s="77"/>
      <c r="Q405" s="78"/>
    </row>
    <row r="406" ht="15" spans="1:17">
      <c r="A406" s="75"/>
      <c r="F406" s="76"/>
      <c r="G406" s="76"/>
      <c r="H406" s="76"/>
      <c r="I406" s="76"/>
      <c r="J406" s="76"/>
      <c r="K406" s="76"/>
      <c r="L406" s="76"/>
      <c r="M406" s="76"/>
      <c r="N406" s="77"/>
      <c r="Q406" s="78"/>
    </row>
    <row r="407" ht="15" spans="1:17">
      <c r="A407" s="75"/>
      <c r="F407" s="76"/>
      <c r="G407" s="76"/>
      <c r="H407" s="76"/>
      <c r="I407" s="76"/>
      <c r="J407" s="76"/>
      <c r="K407" s="76"/>
      <c r="L407" s="76"/>
      <c r="M407" s="76"/>
      <c r="N407" s="77"/>
      <c r="Q407" s="78"/>
    </row>
    <row r="408" ht="15" spans="1:17">
      <c r="A408" s="75"/>
      <c r="F408" s="76"/>
      <c r="G408" s="76"/>
      <c r="H408" s="76"/>
      <c r="I408" s="76"/>
      <c r="J408" s="76"/>
      <c r="K408" s="76"/>
      <c r="L408" s="76"/>
      <c r="M408" s="76"/>
      <c r="N408" s="77"/>
      <c r="Q408" s="78"/>
    </row>
    <row r="409" ht="15" spans="1:17">
      <c r="A409" s="75"/>
      <c r="F409" s="76"/>
      <c r="G409" s="76"/>
      <c r="H409" s="76"/>
      <c r="I409" s="76"/>
      <c r="J409" s="76"/>
      <c r="K409" s="76"/>
      <c r="L409" s="76"/>
      <c r="M409" s="76"/>
      <c r="N409" s="77"/>
      <c r="Q409" s="78"/>
    </row>
    <row r="410" ht="15" spans="1:17">
      <c r="A410" s="75"/>
      <c r="F410" s="76"/>
      <c r="G410" s="76"/>
      <c r="H410" s="76"/>
      <c r="I410" s="76"/>
      <c r="J410" s="76"/>
      <c r="K410" s="76"/>
      <c r="L410" s="76"/>
      <c r="M410" s="76"/>
      <c r="N410" s="77"/>
      <c r="Q410" s="78"/>
    </row>
    <row r="411" ht="15" spans="1:17">
      <c r="A411" s="75"/>
      <c r="F411" s="76"/>
      <c r="G411" s="76"/>
      <c r="H411" s="76"/>
      <c r="I411" s="76"/>
      <c r="J411" s="76"/>
      <c r="K411" s="76"/>
      <c r="L411" s="76"/>
      <c r="M411" s="76"/>
      <c r="N411" s="77"/>
      <c r="Q411" s="78"/>
    </row>
    <row r="412" ht="15" spans="1:17">
      <c r="A412" s="75"/>
      <c r="F412" s="76"/>
      <c r="G412" s="76"/>
      <c r="H412" s="76"/>
      <c r="I412" s="76"/>
      <c r="J412" s="76"/>
      <c r="K412" s="76"/>
      <c r="L412" s="76"/>
      <c r="M412" s="76"/>
      <c r="N412" s="77"/>
      <c r="Q412" s="78"/>
    </row>
    <row r="413" ht="15" spans="1:17">
      <c r="A413" s="75"/>
      <c r="F413" s="76"/>
      <c r="G413" s="76"/>
      <c r="H413" s="76"/>
      <c r="I413" s="76"/>
      <c r="J413" s="76"/>
      <c r="K413" s="76"/>
      <c r="L413" s="76"/>
      <c r="M413" s="76"/>
      <c r="N413" s="77"/>
      <c r="Q413" s="78"/>
    </row>
    <row r="414" ht="15" spans="1:17">
      <c r="A414" s="75"/>
      <c r="F414" s="76"/>
      <c r="G414" s="76"/>
      <c r="H414" s="76"/>
      <c r="I414" s="76"/>
      <c r="J414" s="76"/>
      <c r="K414" s="76"/>
      <c r="L414" s="76"/>
      <c r="M414" s="76"/>
      <c r="N414" s="77"/>
      <c r="Q414" s="78"/>
    </row>
    <row r="415" ht="15" spans="1:17">
      <c r="A415" s="75"/>
      <c r="F415" s="76"/>
      <c r="G415" s="76"/>
      <c r="H415" s="76"/>
      <c r="I415" s="76"/>
      <c r="J415" s="76"/>
      <c r="K415" s="76"/>
      <c r="L415" s="76"/>
      <c r="M415" s="76"/>
      <c r="N415" s="77"/>
      <c r="Q415" s="78"/>
    </row>
    <row r="416" ht="15" spans="1:17">
      <c r="A416" s="75"/>
      <c r="F416" s="76"/>
      <c r="G416" s="76"/>
      <c r="H416" s="76"/>
      <c r="I416" s="76"/>
      <c r="J416" s="76"/>
      <c r="K416" s="76"/>
      <c r="L416" s="76"/>
      <c r="M416" s="76"/>
      <c r="N416" s="77"/>
      <c r="Q416" s="78"/>
    </row>
    <row r="417" ht="15" spans="1:17">
      <c r="A417" s="75"/>
      <c r="F417" s="76"/>
      <c r="G417" s="76"/>
      <c r="H417" s="76"/>
      <c r="I417" s="76"/>
      <c r="J417" s="76"/>
      <c r="K417" s="76"/>
      <c r="L417" s="76"/>
      <c r="M417" s="76"/>
      <c r="N417" s="77"/>
      <c r="Q417" s="78"/>
    </row>
    <row r="418" ht="15" spans="1:17">
      <c r="A418" s="75"/>
      <c r="F418" s="76"/>
      <c r="G418" s="76"/>
      <c r="H418" s="76"/>
      <c r="I418" s="76"/>
      <c r="J418" s="76"/>
      <c r="K418" s="76"/>
      <c r="L418" s="76"/>
      <c r="M418" s="76"/>
      <c r="N418" s="77"/>
      <c r="Q418" s="78"/>
    </row>
    <row r="419" ht="15" spans="1:17">
      <c r="A419" s="75"/>
      <c r="F419" s="76"/>
      <c r="G419" s="76"/>
      <c r="H419" s="76"/>
      <c r="I419" s="76"/>
      <c r="J419" s="76"/>
      <c r="K419" s="76"/>
      <c r="L419" s="76"/>
      <c r="M419" s="76"/>
      <c r="N419" s="77"/>
      <c r="Q419" s="78"/>
    </row>
    <row r="420" ht="15" spans="1:17">
      <c r="A420" s="75"/>
      <c r="F420" s="76"/>
      <c r="G420" s="76"/>
      <c r="H420" s="76"/>
      <c r="I420" s="76"/>
      <c r="J420" s="76"/>
      <c r="K420" s="76"/>
      <c r="L420" s="76"/>
      <c r="M420" s="76"/>
      <c r="N420" s="77"/>
      <c r="Q420" s="78"/>
    </row>
    <row r="421" ht="15" spans="1:17">
      <c r="A421" s="75"/>
      <c r="F421" s="76"/>
      <c r="G421" s="76"/>
      <c r="H421" s="76"/>
      <c r="I421" s="76"/>
      <c r="J421" s="76"/>
      <c r="K421" s="76"/>
      <c r="L421" s="76"/>
      <c r="M421" s="76"/>
      <c r="N421" s="77"/>
      <c r="Q421" s="78"/>
    </row>
    <row r="422" ht="15" spans="1:17">
      <c r="A422" s="75"/>
      <c r="F422" s="76"/>
      <c r="G422" s="76"/>
      <c r="H422" s="76"/>
      <c r="I422" s="76"/>
      <c r="J422" s="76"/>
      <c r="K422" s="76"/>
      <c r="L422" s="76"/>
      <c r="M422" s="76"/>
      <c r="N422" s="77"/>
      <c r="Q422" s="78"/>
    </row>
    <row r="423" ht="15" spans="1:17">
      <c r="A423" s="75"/>
      <c r="F423" s="76"/>
      <c r="G423" s="76"/>
      <c r="H423" s="76"/>
      <c r="I423" s="76"/>
      <c r="J423" s="76"/>
      <c r="K423" s="76"/>
      <c r="L423" s="76"/>
      <c r="M423" s="76"/>
      <c r="N423" s="77"/>
      <c r="Q423" s="78"/>
    </row>
    <row r="424" ht="15" spans="1:17">
      <c r="A424" s="75"/>
      <c r="F424" s="76"/>
      <c r="G424" s="76"/>
      <c r="H424" s="76"/>
      <c r="I424" s="76"/>
      <c r="J424" s="76"/>
      <c r="K424" s="76"/>
      <c r="L424" s="76"/>
      <c r="M424" s="76"/>
      <c r="N424" s="77"/>
      <c r="Q424" s="78"/>
    </row>
    <row r="425" ht="15" spans="1:17">
      <c r="A425" s="75"/>
      <c r="F425" s="76"/>
      <c r="G425" s="76"/>
      <c r="H425" s="76"/>
      <c r="I425" s="76"/>
      <c r="J425" s="76"/>
      <c r="K425" s="76"/>
      <c r="L425" s="76"/>
      <c r="M425" s="76"/>
      <c r="N425" s="77"/>
      <c r="Q425" s="78"/>
    </row>
    <row r="426" ht="15" spans="1:17">
      <c r="A426" s="75"/>
      <c r="F426" s="76"/>
      <c r="G426" s="76"/>
      <c r="H426" s="76"/>
      <c r="I426" s="76"/>
      <c r="J426" s="76"/>
      <c r="K426" s="76"/>
      <c r="L426" s="76"/>
      <c r="M426" s="76"/>
      <c r="N426" s="77"/>
      <c r="Q426" s="78"/>
    </row>
    <row r="427" ht="15" spans="1:17">
      <c r="A427" s="75"/>
      <c r="F427" s="76"/>
      <c r="G427" s="76"/>
      <c r="H427" s="76"/>
      <c r="I427" s="76"/>
      <c r="J427" s="76"/>
      <c r="K427" s="76"/>
      <c r="L427" s="76"/>
      <c r="M427" s="76"/>
      <c r="N427" s="77"/>
      <c r="Q427" s="78"/>
    </row>
    <row r="428" ht="15" spans="1:17">
      <c r="A428" s="75"/>
      <c r="F428" s="76"/>
      <c r="G428" s="76"/>
      <c r="H428" s="76"/>
      <c r="I428" s="76"/>
      <c r="J428" s="76"/>
      <c r="K428" s="76"/>
      <c r="L428" s="76"/>
      <c r="M428" s="76"/>
      <c r="N428" s="77"/>
      <c r="Q428" s="78"/>
    </row>
    <row r="429" ht="15" spans="1:17">
      <c r="A429" s="75"/>
      <c r="F429" s="76"/>
      <c r="G429" s="76"/>
      <c r="H429" s="76"/>
      <c r="I429" s="76"/>
      <c r="J429" s="76"/>
      <c r="K429" s="76"/>
      <c r="L429" s="76"/>
      <c r="M429" s="76"/>
      <c r="N429" s="77"/>
      <c r="Q429" s="78"/>
    </row>
    <row r="430" ht="15" spans="1:17">
      <c r="A430" s="75"/>
      <c r="F430" s="76"/>
      <c r="G430" s="76"/>
      <c r="H430" s="76"/>
      <c r="I430" s="76"/>
      <c r="J430" s="76"/>
      <c r="K430" s="76"/>
      <c r="L430" s="76"/>
      <c r="M430" s="76"/>
      <c r="N430" s="77"/>
      <c r="Q430" s="78"/>
    </row>
    <row r="431" ht="15" spans="1:17">
      <c r="A431" s="75"/>
      <c r="F431" s="76"/>
      <c r="G431" s="76"/>
      <c r="H431" s="76"/>
      <c r="I431" s="76"/>
      <c r="J431" s="76"/>
      <c r="K431" s="76"/>
      <c r="L431" s="76"/>
      <c r="M431" s="76"/>
      <c r="N431" s="77"/>
      <c r="Q431" s="78"/>
    </row>
    <row r="432" ht="15" spans="1:17">
      <c r="A432" s="75"/>
      <c r="F432" s="76"/>
      <c r="G432" s="76"/>
      <c r="H432" s="76"/>
      <c r="I432" s="76"/>
      <c r="J432" s="76"/>
      <c r="K432" s="76"/>
      <c r="L432" s="76"/>
      <c r="M432" s="76"/>
      <c r="N432" s="77"/>
      <c r="Q432" s="78"/>
    </row>
    <row r="433" ht="15" spans="1:17">
      <c r="A433" s="75"/>
      <c r="F433" s="76"/>
      <c r="G433" s="76"/>
      <c r="H433" s="76"/>
      <c r="I433" s="76"/>
      <c r="J433" s="76"/>
      <c r="K433" s="76"/>
      <c r="L433" s="76"/>
      <c r="M433" s="76"/>
      <c r="N433" s="77"/>
      <c r="Q433" s="78"/>
    </row>
    <row r="434" ht="15" spans="1:17">
      <c r="A434" s="75"/>
      <c r="F434" s="76"/>
      <c r="G434" s="76"/>
      <c r="H434" s="76"/>
      <c r="I434" s="76"/>
      <c r="J434" s="76"/>
      <c r="K434" s="76"/>
      <c r="L434" s="76"/>
      <c r="M434" s="76"/>
      <c r="N434" s="77"/>
      <c r="Q434" s="78"/>
    </row>
    <row r="435" ht="15" spans="1:17">
      <c r="A435" s="75"/>
      <c r="F435" s="76"/>
      <c r="G435" s="76"/>
      <c r="H435" s="76"/>
      <c r="I435" s="76"/>
      <c r="J435" s="76"/>
      <c r="K435" s="76"/>
      <c r="L435" s="76"/>
      <c r="M435" s="76"/>
      <c r="N435" s="77"/>
      <c r="Q435" s="78"/>
    </row>
    <row r="436" ht="15" spans="1:17">
      <c r="A436" s="75"/>
      <c r="F436" s="76"/>
      <c r="G436" s="76"/>
      <c r="H436" s="76"/>
      <c r="I436" s="76"/>
      <c r="J436" s="76"/>
      <c r="K436" s="76"/>
      <c r="L436" s="76"/>
      <c r="M436" s="76"/>
      <c r="N436" s="77"/>
      <c r="Q436" s="78"/>
    </row>
    <row r="437" ht="15" spans="1:17">
      <c r="A437" s="75"/>
      <c r="F437" s="76"/>
      <c r="G437" s="76"/>
      <c r="H437" s="76"/>
      <c r="I437" s="76"/>
      <c r="J437" s="76"/>
      <c r="K437" s="76"/>
      <c r="L437" s="76"/>
      <c r="M437" s="76"/>
      <c r="N437" s="77"/>
      <c r="Q437" s="78"/>
    </row>
    <row r="438" ht="15" spans="1:17">
      <c r="A438" s="75"/>
      <c r="F438" s="76"/>
      <c r="G438" s="76"/>
      <c r="H438" s="76"/>
      <c r="I438" s="76"/>
      <c r="J438" s="76"/>
      <c r="K438" s="76"/>
      <c r="L438" s="76"/>
      <c r="M438" s="76"/>
      <c r="N438" s="77"/>
      <c r="Q438" s="78"/>
    </row>
    <row r="439" ht="15" spans="1:17">
      <c r="A439" s="75"/>
      <c r="F439" s="76"/>
      <c r="G439" s="76"/>
      <c r="H439" s="76"/>
      <c r="I439" s="76"/>
      <c r="J439" s="76"/>
      <c r="K439" s="76"/>
      <c r="L439" s="76"/>
      <c r="M439" s="76"/>
      <c r="N439" s="77"/>
      <c r="Q439" s="78"/>
    </row>
    <row r="440" ht="15" spans="1:17">
      <c r="A440" s="75"/>
      <c r="F440" s="76"/>
      <c r="G440" s="76"/>
      <c r="H440" s="76"/>
      <c r="I440" s="76"/>
      <c r="J440" s="76"/>
      <c r="K440" s="76"/>
      <c r="L440" s="76"/>
      <c r="M440" s="76"/>
      <c r="N440" s="77"/>
      <c r="Q440" s="78"/>
    </row>
    <row r="441" ht="15" spans="1:17">
      <c r="A441" s="75"/>
      <c r="F441" s="76"/>
      <c r="G441" s="76"/>
      <c r="H441" s="76"/>
      <c r="I441" s="76"/>
      <c r="J441" s="76"/>
      <c r="K441" s="76"/>
      <c r="L441" s="76"/>
      <c r="M441" s="76"/>
      <c r="N441" s="77"/>
      <c r="Q441" s="78"/>
    </row>
    <row r="442" ht="15" spans="1:17">
      <c r="A442" s="75"/>
      <c r="F442" s="76"/>
      <c r="G442" s="76"/>
      <c r="H442" s="76"/>
      <c r="I442" s="76"/>
      <c r="J442" s="76"/>
      <c r="K442" s="76"/>
      <c r="L442" s="76"/>
      <c r="M442" s="76"/>
      <c r="N442" s="77"/>
      <c r="Q442" s="78"/>
    </row>
    <row r="443" ht="15" spans="1:17">
      <c r="A443" s="75"/>
      <c r="F443" s="76"/>
      <c r="G443" s="76"/>
      <c r="H443" s="76"/>
      <c r="I443" s="76"/>
      <c r="J443" s="76"/>
      <c r="K443" s="76"/>
      <c r="L443" s="76"/>
      <c r="M443" s="76"/>
      <c r="N443" s="77"/>
      <c r="Q443" s="78"/>
    </row>
    <row r="444" ht="15" spans="1:17">
      <c r="A444" s="75"/>
      <c r="F444" s="76"/>
      <c r="G444" s="76"/>
      <c r="H444" s="76"/>
      <c r="I444" s="76"/>
      <c r="J444" s="76"/>
      <c r="K444" s="76"/>
      <c r="L444" s="76"/>
      <c r="M444" s="76"/>
      <c r="N444" s="77"/>
      <c r="Q444" s="78"/>
    </row>
    <row r="445" ht="15" spans="1:17">
      <c r="A445" s="75"/>
      <c r="F445" s="76"/>
      <c r="G445" s="76"/>
      <c r="H445" s="76"/>
      <c r="I445" s="76"/>
      <c r="J445" s="76"/>
      <c r="K445" s="76"/>
      <c r="L445" s="76"/>
      <c r="M445" s="76"/>
      <c r="N445" s="77"/>
      <c r="Q445" s="78"/>
    </row>
    <row r="446" ht="15" spans="1:17">
      <c r="A446" s="75"/>
      <c r="F446" s="76"/>
      <c r="G446" s="76"/>
      <c r="H446" s="76"/>
      <c r="I446" s="76"/>
      <c r="J446" s="76"/>
      <c r="K446" s="76"/>
      <c r="L446" s="76"/>
      <c r="M446" s="76"/>
      <c r="N446" s="77"/>
      <c r="Q446" s="78"/>
    </row>
    <row r="447" ht="15" spans="1:17">
      <c r="A447" s="75"/>
      <c r="F447" s="76"/>
      <c r="G447" s="76"/>
      <c r="H447" s="76"/>
      <c r="I447" s="76"/>
      <c r="J447" s="76"/>
      <c r="K447" s="76"/>
      <c r="L447" s="76"/>
      <c r="M447" s="76"/>
      <c r="N447" s="77"/>
      <c r="Q447" s="78"/>
    </row>
    <row r="448" ht="15" spans="1:17">
      <c r="A448" s="75"/>
      <c r="F448" s="76"/>
      <c r="G448" s="76"/>
      <c r="H448" s="76"/>
      <c r="I448" s="76"/>
      <c r="J448" s="76"/>
      <c r="K448" s="76"/>
      <c r="L448" s="76"/>
      <c r="M448" s="76"/>
      <c r="N448" s="77"/>
      <c r="Q448" s="78"/>
    </row>
    <row r="449" ht="15" spans="1:17">
      <c r="A449" s="75"/>
      <c r="F449" s="76"/>
      <c r="G449" s="76"/>
      <c r="H449" s="76"/>
      <c r="I449" s="76"/>
      <c r="J449" s="76"/>
      <c r="K449" s="76"/>
      <c r="L449" s="76"/>
      <c r="M449" s="76"/>
      <c r="N449" s="77"/>
      <c r="Q449" s="78"/>
    </row>
    <row r="450" ht="15" spans="1:17">
      <c r="A450" s="75"/>
      <c r="F450" s="76"/>
      <c r="G450" s="76"/>
      <c r="H450" s="76"/>
      <c r="I450" s="76"/>
      <c r="J450" s="76"/>
      <c r="K450" s="76"/>
      <c r="L450" s="76"/>
      <c r="M450" s="76"/>
      <c r="N450" s="77"/>
      <c r="Q450" s="78"/>
    </row>
    <row r="451" ht="15" spans="1:17">
      <c r="A451" s="75"/>
      <c r="F451" s="76"/>
      <c r="G451" s="76"/>
      <c r="H451" s="76"/>
      <c r="I451" s="76"/>
      <c r="J451" s="76"/>
      <c r="K451" s="76"/>
      <c r="L451" s="76"/>
      <c r="M451" s="76"/>
      <c r="N451" s="77"/>
      <c r="Q451" s="78"/>
    </row>
    <row r="452" ht="15" spans="1:17">
      <c r="A452" s="75"/>
      <c r="F452" s="76"/>
      <c r="G452" s="76"/>
      <c r="H452" s="76"/>
      <c r="I452" s="76"/>
      <c r="J452" s="76"/>
      <c r="K452" s="76"/>
      <c r="L452" s="76"/>
      <c r="M452" s="76"/>
      <c r="N452" s="77"/>
      <c r="Q452" s="78"/>
    </row>
    <row r="453" ht="15" spans="1:17">
      <c r="A453" s="75"/>
      <c r="F453" s="76"/>
      <c r="G453" s="76"/>
      <c r="H453" s="76"/>
      <c r="I453" s="76"/>
      <c r="J453" s="76"/>
      <c r="K453" s="76"/>
      <c r="L453" s="76"/>
      <c r="M453" s="76"/>
      <c r="N453" s="77"/>
      <c r="Q453" s="78"/>
    </row>
    <row r="454" ht="15" spans="1:17">
      <c r="A454" s="75"/>
      <c r="F454" s="76"/>
      <c r="G454" s="76"/>
      <c r="H454" s="76"/>
      <c r="I454" s="76"/>
      <c r="J454" s="76"/>
      <c r="K454" s="76"/>
      <c r="L454" s="76"/>
      <c r="M454" s="76"/>
      <c r="N454" s="77"/>
      <c r="Q454" s="78"/>
    </row>
    <row r="455" ht="15" spans="1:17">
      <c r="A455" s="75"/>
      <c r="F455" s="76"/>
      <c r="G455" s="76"/>
      <c r="H455" s="76"/>
      <c r="I455" s="76"/>
      <c r="J455" s="76"/>
      <c r="K455" s="76"/>
      <c r="L455" s="76"/>
      <c r="M455" s="76"/>
      <c r="N455" s="77"/>
      <c r="Q455" s="78"/>
    </row>
    <row r="456" ht="15" spans="1:17">
      <c r="A456" s="75"/>
      <c r="F456" s="76"/>
      <c r="G456" s="76"/>
      <c r="H456" s="76"/>
      <c r="I456" s="76"/>
      <c r="J456" s="76"/>
      <c r="K456" s="76"/>
      <c r="L456" s="76"/>
      <c r="M456" s="76"/>
      <c r="N456" s="77"/>
      <c r="Q456" s="78"/>
    </row>
    <row r="457" ht="15" spans="1:17">
      <c r="A457" s="75"/>
      <c r="F457" s="76"/>
      <c r="G457" s="76"/>
      <c r="H457" s="76"/>
      <c r="I457" s="76"/>
      <c r="J457" s="76"/>
      <c r="K457" s="76"/>
      <c r="L457" s="76"/>
      <c r="M457" s="76"/>
      <c r="N457" s="77"/>
      <c r="Q457" s="78"/>
    </row>
    <row r="458" ht="15" spans="1:17">
      <c r="A458" s="75"/>
      <c r="F458" s="76"/>
      <c r="G458" s="76"/>
      <c r="H458" s="76"/>
      <c r="I458" s="76"/>
      <c r="J458" s="76"/>
      <c r="K458" s="76"/>
      <c r="L458" s="76"/>
      <c r="M458" s="76"/>
      <c r="N458" s="77"/>
      <c r="Q458" s="78"/>
    </row>
    <row r="459" ht="15" spans="1:17">
      <c r="A459" s="75"/>
      <c r="F459" s="76"/>
      <c r="G459" s="76"/>
      <c r="H459" s="76"/>
      <c r="I459" s="76"/>
      <c r="J459" s="76"/>
      <c r="K459" s="76"/>
      <c r="L459" s="76"/>
      <c r="M459" s="76"/>
      <c r="N459" s="77"/>
      <c r="Q459" s="78"/>
    </row>
    <row r="460" ht="15" spans="1:17">
      <c r="A460" s="75"/>
      <c r="F460" s="76"/>
      <c r="G460" s="76"/>
      <c r="H460" s="76"/>
      <c r="I460" s="76"/>
      <c r="J460" s="76"/>
      <c r="K460" s="76"/>
      <c r="L460" s="76"/>
      <c r="M460" s="76"/>
      <c r="N460" s="77"/>
      <c r="Q460" s="78"/>
    </row>
    <row r="461" ht="15" spans="1:17">
      <c r="A461" s="75"/>
      <c r="F461" s="76"/>
      <c r="G461" s="76"/>
      <c r="H461" s="76"/>
      <c r="I461" s="76"/>
      <c r="J461" s="76"/>
      <c r="K461" s="76"/>
      <c r="L461" s="76"/>
      <c r="M461" s="76"/>
      <c r="N461" s="77"/>
      <c r="Q461" s="78"/>
    </row>
    <row r="462" ht="15" spans="1:17">
      <c r="A462" s="75"/>
      <c r="F462" s="76"/>
      <c r="G462" s="76"/>
      <c r="H462" s="76"/>
      <c r="I462" s="76"/>
      <c r="J462" s="76"/>
      <c r="K462" s="76"/>
      <c r="L462" s="76"/>
      <c r="M462" s="76"/>
      <c r="N462" s="77"/>
      <c r="Q462" s="78"/>
    </row>
    <row r="463" ht="15" spans="1:17">
      <c r="A463" s="75"/>
      <c r="F463" s="76"/>
      <c r="G463" s="76"/>
      <c r="H463" s="76"/>
      <c r="I463" s="76"/>
      <c r="J463" s="76"/>
      <c r="K463" s="76"/>
      <c r="L463" s="76"/>
      <c r="M463" s="76"/>
      <c r="N463" s="77"/>
      <c r="Q463" s="78"/>
    </row>
    <row r="464" ht="15" spans="1:17">
      <c r="A464" s="75"/>
      <c r="F464" s="76"/>
      <c r="G464" s="76"/>
      <c r="H464" s="76"/>
      <c r="I464" s="76"/>
      <c r="J464" s="76"/>
      <c r="K464" s="76"/>
      <c r="L464" s="76"/>
      <c r="M464" s="76"/>
      <c r="N464" s="77"/>
      <c r="Q464" s="78"/>
    </row>
    <row r="465" ht="15" spans="1:17">
      <c r="A465" s="75"/>
      <c r="F465" s="76"/>
      <c r="G465" s="76"/>
      <c r="H465" s="76"/>
      <c r="I465" s="76"/>
      <c r="J465" s="76"/>
      <c r="K465" s="76"/>
      <c r="L465" s="76"/>
      <c r="M465" s="76"/>
      <c r="N465" s="77"/>
      <c r="Q465" s="78"/>
    </row>
    <row r="466" ht="15" spans="1:17">
      <c r="A466" s="75"/>
      <c r="F466" s="76"/>
      <c r="G466" s="76"/>
      <c r="H466" s="76"/>
      <c r="I466" s="76"/>
      <c r="J466" s="76"/>
      <c r="K466" s="76"/>
      <c r="L466" s="76"/>
      <c r="M466" s="76"/>
      <c r="N466" s="77"/>
      <c r="Q466" s="78"/>
    </row>
    <row r="467" ht="15" spans="1:17">
      <c r="A467" s="75"/>
      <c r="F467" s="76"/>
      <c r="G467" s="76"/>
      <c r="H467" s="76"/>
      <c r="I467" s="76"/>
      <c r="J467" s="76"/>
      <c r="K467" s="76"/>
      <c r="L467" s="76"/>
      <c r="M467" s="76"/>
      <c r="N467" s="77"/>
      <c r="Q467" s="78"/>
    </row>
    <row r="468" ht="15" spans="1:17">
      <c r="A468" s="75"/>
      <c r="F468" s="76"/>
      <c r="G468" s="76"/>
      <c r="H468" s="76"/>
      <c r="I468" s="76"/>
      <c r="J468" s="76"/>
      <c r="K468" s="76"/>
      <c r="L468" s="76"/>
      <c r="M468" s="76"/>
      <c r="N468" s="77"/>
      <c r="Q468" s="78"/>
    </row>
    <row r="469" ht="15" spans="1:17">
      <c r="A469" s="75"/>
      <c r="F469" s="76"/>
      <c r="G469" s="76"/>
      <c r="H469" s="76"/>
      <c r="I469" s="76"/>
      <c r="J469" s="76"/>
      <c r="K469" s="76"/>
      <c r="L469" s="76"/>
      <c r="M469" s="76"/>
      <c r="N469" s="77"/>
      <c r="Q469" s="78"/>
    </row>
    <row r="470" ht="15" spans="1:17">
      <c r="A470" s="75"/>
      <c r="F470" s="76"/>
      <c r="G470" s="76"/>
      <c r="H470" s="76"/>
      <c r="I470" s="76"/>
      <c r="J470" s="76"/>
      <c r="K470" s="76"/>
      <c r="L470" s="76"/>
      <c r="M470" s="76"/>
      <c r="N470" s="77"/>
      <c r="Q470" s="78"/>
    </row>
    <row r="471" ht="15" spans="1:17">
      <c r="A471" s="75"/>
      <c r="F471" s="76"/>
      <c r="G471" s="76"/>
      <c r="H471" s="76"/>
      <c r="I471" s="76"/>
      <c r="J471" s="76"/>
      <c r="K471" s="76"/>
      <c r="L471" s="76"/>
      <c r="M471" s="76"/>
      <c r="N471" s="77"/>
      <c r="Q471" s="78"/>
    </row>
    <row r="472" ht="15" spans="1:17">
      <c r="A472" s="75"/>
      <c r="F472" s="76"/>
      <c r="G472" s="76"/>
      <c r="H472" s="76"/>
      <c r="I472" s="76"/>
      <c r="J472" s="76"/>
      <c r="K472" s="76"/>
      <c r="L472" s="76"/>
      <c r="M472" s="76"/>
      <c r="N472" s="77"/>
      <c r="Q472" s="78"/>
    </row>
    <row r="473" ht="15" spans="1:17">
      <c r="A473" s="75"/>
      <c r="F473" s="76"/>
      <c r="G473" s="76"/>
      <c r="H473" s="76"/>
      <c r="I473" s="76"/>
      <c r="J473" s="76"/>
      <c r="K473" s="76"/>
      <c r="L473" s="76"/>
      <c r="M473" s="76"/>
      <c r="N473" s="77"/>
      <c r="Q473" s="78"/>
    </row>
    <row r="474" ht="15" spans="1:17">
      <c r="A474" s="75"/>
      <c r="F474" s="76"/>
      <c r="G474" s="76"/>
      <c r="H474" s="76"/>
      <c r="I474" s="76"/>
      <c r="J474" s="76"/>
      <c r="K474" s="76"/>
      <c r="L474" s="76"/>
      <c r="M474" s="76"/>
      <c r="N474" s="77"/>
      <c r="Q474" s="78"/>
    </row>
    <row r="475" ht="15" spans="1:17">
      <c r="A475" s="75"/>
      <c r="F475" s="76"/>
      <c r="G475" s="76"/>
      <c r="H475" s="76"/>
      <c r="I475" s="76"/>
      <c r="J475" s="76"/>
      <c r="K475" s="76"/>
      <c r="L475" s="76"/>
      <c r="M475" s="76"/>
      <c r="N475" s="77"/>
      <c r="Q475" s="78"/>
    </row>
    <row r="476" ht="15" spans="1:17">
      <c r="A476" s="75"/>
      <c r="F476" s="76"/>
      <c r="G476" s="76"/>
      <c r="H476" s="76"/>
      <c r="I476" s="76"/>
      <c r="J476" s="76"/>
      <c r="K476" s="76"/>
      <c r="L476" s="76"/>
      <c r="M476" s="76"/>
      <c r="N476" s="77"/>
      <c r="Q476" s="78"/>
    </row>
    <row r="477" ht="15" spans="1:17">
      <c r="A477" s="75"/>
      <c r="F477" s="76"/>
      <c r="G477" s="76"/>
      <c r="H477" s="76"/>
      <c r="I477" s="76"/>
      <c r="J477" s="76"/>
      <c r="K477" s="76"/>
      <c r="L477" s="76"/>
      <c r="M477" s="76"/>
      <c r="N477" s="77"/>
      <c r="Q477" s="78"/>
    </row>
    <row r="478" ht="15" spans="1:17">
      <c r="A478" s="75"/>
      <c r="F478" s="76"/>
      <c r="G478" s="76"/>
      <c r="H478" s="76"/>
      <c r="I478" s="76"/>
      <c r="J478" s="76"/>
      <c r="K478" s="76"/>
      <c r="L478" s="76"/>
      <c r="M478" s="76"/>
      <c r="N478" s="77"/>
      <c r="Q478" s="78"/>
    </row>
    <row r="479" ht="15" spans="1:17">
      <c r="A479" s="75"/>
      <c r="F479" s="76"/>
      <c r="G479" s="76"/>
      <c r="H479" s="76"/>
      <c r="I479" s="76"/>
      <c r="J479" s="76"/>
      <c r="K479" s="76"/>
      <c r="L479" s="76"/>
      <c r="M479" s="76"/>
      <c r="N479" s="77"/>
      <c r="Q479" s="78"/>
    </row>
    <row r="480" ht="15" spans="1:17">
      <c r="A480" s="75"/>
      <c r="F480" s="76"/>
      <c r="G480" s="76"/>
      <c r="H480" s="76"/>
      <c r="I480" s="76"/>
      <c r="J480" s="76"/>
      <c r="K480" s="76"/>
      <c r="L480" s="76"/>
      <c r="M480" s="76"/>
      <c r="N480" s="77"/>
      <c r="Q480" s="78"/>
    </row>
    <row r="481" ht="15" spans="1:17">
      <c r="A481" s="75"/>
      <c r="F481" s="76"/>
      <c r="G481" s="76"/>
      <c r="H481" s="76"/>
      <c r="I481" s="76"/>
      <c r="J481" s="76"/>
      <c r="K481" s="76"/>
      <c r="L481" s="76"/>
      <c r="M481" s="76"/>
      <c r="N481" s="77"/>
      <c r="Q481" s="78"/>
    </row>
    <row r="482" ht="15" spans="1:17">
      <c r="A482" s="75"/>
      <c r="F482" s="76"/>
      <c r="G482" s="76"/>
      <c r="H482" s="76"/>
      <c r="I482" s="76"/>
      <c r="J482" s="76"/>
      <c r="K482" s="76"/>
      <c r="L482" s="76"/>
      <c r="M482" s="76"/>
      <c r="N482" s="77"/>
      <c r="Q482" s="78"/>
    </row>
    <row r="483" ht="15" spans="1:17">
      <c r="A483" s="75"/>
      <c r="F483" s="76"/>
      <c r="G483" s="76"/>
      <c r="H483" s="76"/>
      <c r="I483" s="76"/>
      <c r="J483" s="76"/>
      <c r="K483" s="76"/>
      <c r="L483" s="76"/>
      <c r="M483" s="76"/>
      <c r="N483" s="77"/>
      <c r="Q483" s="78"/>
    </row>
    <row r="484" ht="15" spans="1:17">
      <c r="A484" s="75"/>
      <c r="F484" s="76"/>
      <c r="G484" s="76"/>
      <c r="H484" s="76"/>
      <c r="I484" s="76"/>
      <c r="J484" s="76"/>
      <c r="K484" s="76"/>
      <c r="L484" s="76"/>
      <c r="M484" s="76"/>
      <c r="N484" s="77"/>
      <c r="Q484" s="78"/>
    </row>
    <row r="485" ht="15" spans="1:17">
      <c r="A485" s="75"/>
      <c r="F485" s="76"/>
      <c r="G485" s="76"/>
      <c r="H485" s="76"/>
      <c r="I485" s="76"/>
      <c r="J485" s="76"/>
      <c r="K485" s="76"/>
      <c r="L485" s="76"/>
      <c r="M485" s="76"/>
      <c r="N485" s="77"/>
      <c r="Q485" s="78"/>
    </row>
    <row r="486" ht="15" spans="1:17">
      <c r="A486" s="75"/>
      <c r="F486" s="76"/>
      <c r="G486" s="76"/>
      <c r="H486" s="76"/>
      <c r="I486" s="76"/>
      <c r="J486" s="76"/>
      <c r="K486" s="76"/>
      <c r="L486" s="76"/>
      <c r="M486" s="76"/>
      <c r="N486" s="77"/>
      <c r="Q486" s="78"/>
    </row>
    <row r="487" ht="15" spans="1:17">
      <c r="A487" s="75"/>
      <c r="F487" s="76"/>
      <c r="G487" s="76"/>
      <c r="H487" s="76"/>
      <c r="I487" s="76"/>
      <c r="J487" s="76"/>
      <c r="K487" s="76"/>
      <c r="L487" s="76"/>
      <c r="M487" s="76"/>
      <c r="N487" s="77"/>
      <c r="Q487" s="78"/>
    </row>
    <row r="488" ht="15" spans="1:17">
      <c r="A488" s="75"/>
      <c r="F488" s="76"/>
      <c r="G488" s="76"/>
      <c r="H488" s="76"/>
      <c r="I488" s="76"/>
      <c r="J488" s="76"/>
      <c r="K488" s="76"/>
      <c r="L488" s="76"/>
      <c r="M488" s="76"/>
      <c r="N488" s="77"/>
      <c r="Q488" s="78"/>
    </row>
    <row r="489" ht="15" spans="1:17">
      <c r="A489" s="75"/>
      <c r="F489" s="76"/>
      <c r="G489" s="76"/>
      <c r="H489" s="76"/>
      <c r="I489" s="76"/>
      <c r="J489" s="76"/>
      <c r="K489" s="76"/>
      <c r="L489" s="76"/>
      <c r="M489" s="76"/>
      <c r="N489" s="77"/>
      <c r="Q489" s="78"/>
    </row>
    <row r="490" ht="15" spans="1:17">
      <c r="A490" s="75"/>
      <c r="F490" s="76"/>
      <c r="G490" s="76"/>
      <c r="H490" s="76"/>
      <c r="I490" s="76"/>
      <c r="J490" s="76"/>
      <c r="K490" s="76"/>
      <c r="L490" s="76"/>
      <c r="M490" s="76"/>
      <c r="N490" s="77"/>
      <c r="Q490" s="78"/>
    </row>
    <row r="491" ht="15" spans="1:17">
      <c r="A491" s="75"/>
      <c r="F491" s="76"/>
      <c r="G491" s="76"/>
      <c r="H491" s="76"/>
      <c r="I491" s="76"/>
      <c r="J491" s="76"/>
      <c r="K491" s="76"/>
      <c r="L491" s="76"/>
      <c r="M491" s="76"/>
      <c r="N491" s="77"/>
      <c r="Q491" s="78"/>
    </row>
    <row r="492" ht="15" spans="1:17">
      <c r="A492" s="75"/>
      <c r="F492" s="76"/>
      <c r="G492" s="76"/>
      <c r="H492" s="76"/>
      <c r="I492" s="76"/>
      <c r="J492" s="76"/>
      <c r="K492" s="76"/>
      <c r="L492" s="76"/>
      <c r="M492" s="76"/>
      <c r="N492" s="77"/>
      <c r="Q492" s="78"/>
    </row>
    <row r="493" ht="15" spans="1:17">
      <c r="A493" s="75"/>
      <c r="F493" s="76"/>
      <c r="G493" s="76"/>
      <c r="H493" s="76"/>
      <c r="I493" s="76"/>
      <c r="J493" s="76"/>
      <c r="K493" s="76"/>
      <c r="L493" s="76"/>
      <c r="M493" s="76"/>
      <c r="N493" s="77"/>
      <c r="Q493" s="78"/>
    </row>
    <row r="494" ht="15" spans="1:17">
      <c r="A494" s="75"/>
      <c r="F494" s="76"/>
      <c r="G494" s="76"/>
      <c r="H494" s="76"/>
      <c r="I494" s="76"/>
      <c r="J494" s="76"/>
      <c r="K494" s="76"/>
      <c r="L494" s="76"/>
      <c r="M494" s="76"/>
      <c r="N494" s="77"/>
      <c r="Q494" s="78"/>
    </row>
    <row r="495" ht="15" spans="1:17">
      <c r="A495" s="75"/>
      <c r="F495" s="76"/>
      <c r="G495" s="76"/>
      <c r="H495" s="76"/>
      <c r="I495" s="76"/>
      <c r="J495" s="76"/>
      <c r="K495" s="76"/>
      <c r="L495" s="76"/>
      <c r="M495" s="76"/>
      <c r="N495" s="77"/>
      <c r="Q495" s="78"/>
    </row>
    <row r="496" ht="15" spans="1:17">
      <c r="A496" s="75"/>
      <c r="F496" s="76"/>
      <c r="G496" s="76"/>
      <c r="H496" s="76"/>
      <c r="I496" s="76"/>
      <c r="J496" s="76"/>
      <c r="K496" s="76"/>
      <c r="L496" s="76"/>
      <c r="M496" s="76"/>
      <c r="N496" s="77"/>
      <c r="Q496" s="78"/>
    </row>
    <row r="497" ht="15" spans="1:17">
      <c r="A497" s="75"/>
      <c r="F497" s="76"/>
      <c r="G497" s="76"/>
      <c r="H497" s="76"/>
      <c r="I497" s="76"/>
      <c r="J497" s="76"/>
      <c r="K497" s="76"/>
      <c r="L497" s="76"/>
      <c r="M497" s="76"/>
      <c r="N497" s="77"/>
      <c r="Q497" s="78"/>
    </row>
    <row r="498" ht="15" spans="1:17">
      <c r="A498" s="75"/>
      <c r="F498" s="76"/>
      <c r="G498" s="76"/>
      <c r="H498" s="76"/>
      <c r="I498" s="76"/>
      <c r="J498" s="76"/>
      <c r="K498" s="76"/>
      <c r="L498" s="76"/>
      <c r="M498" s="76"/>
      <c r="N498" s="77"/>
      <c r="Q498" s="78"/>
    </row>
    <row r="499" ht="15" spans="1:17">
      <c r="A499" s="75"/>
      <c r="F499" s="76"/>
      <c r="G499" s="76"/>
      <c r="H499" s="76"/>
      <c r="I499" s="76"/>
      <c r="J499" s="76"/>
      <c r="K499" s="76"/>
      <c r="L499" s="76"/>
      <c r="M499" s="76"/>
      <c r="N499" s="77"/>
      <c r="Q499" s="78"/>
    </row>
    <row r="500" ht="15" spans="1:17">
      <c r="A500" s="75"/>
      <c r="F500" s="76"/>
      <c r="G500" s="76"/>
      <c r="H500" s="76"/>
      <c r="I500" s="76"/>
      <c r="J500" s="76"/>
      <c r="K500" s="76"/>
      <c r="L500" s="76"/>
      <c r="M500" s="76"/>
      <c r="N500" s="77"/>
      <c r="Q500" s="78"/>
    </row>
    <row r="501" ht="15" spans="1:17">
      <c r="A501" s="75"/>
      <c r="F501" s="76"/>
      <c r="G501" s="76"/>
      <c r="H501" s="76"/>
      <c r="I501" s="76"/>
      <c r="J501" s="76"/>
      <c r="K501" s="76"/>
      <c r="L501" s="76"/>
      <c r="M501" s="76"/>
      <c r="N501" s="77"/>
      <c r="Q501" s="78"/>
    </row>
    <row r="502" ht="15" spans="1:17">
      <c r="A502" s="75"/>
      <c r="F502" s="76"/>
      <c r="G502" s="76"/>
      <c r="H502" s="76"/>
      <c r="I502" s="76"/>
      <c r="J502" s="76"/>
      <c r="K502" s="76"/>
      <c r="L502" s="76"/>
      <c r="M502" s="76"/>
      <c r="N502" s="77"/>
      <c r="Q502" s="78"/>
    </row>
    <row r="503" ht="15" spans="1:17">
      <c r="A503" s="75"/>
      <c r="F503" s="76"/>
      <c r="G503" s="76"/>
      <c r="H503" s="76"/>
      <c r="I503" s="76"/>
      <c r="J503" s="76"/>
      <c r="K503" s="76"/>
      <c r="L503" s="76"/>
      <c r="M503" s="76"/>
      <c r="N503" s="77"/>
      <c r="Q503" s="78"/>
    </row>
    <row r="504" ht="15" spans="1:17">
      <c r="A504" s="75"/>
      <c r="F504" s="76"/>
      <c r="G504" s="76"/>
      <c r="H504" s="76"/>
      <c r="I504" s="76"/>
      <c r="J504" s="76"/>
      <c r="K504" s="76"/>
      <c r="L504" s="76"/>
      <c r="M504" s="76"/>
      <c r="N504" s="77"/>
      <c r="Q504" s="78"/>
    </row>
    <row r="505" ht="15" spans="1:17">
      <c r="A505" s="75"/>
      <c r="F505" s="76"/>
      <c r="G505" s="76"/>
      <c r="H505" s="76"/>
      <c r="I505" s="76"/>
      <c r="J505" s="76"/>
      <c r="K505" s="76"/>
      <c r="L505" s="76"/>
      <c r="M505" s="76"/>
      <c r="N505" s="77"/>
      <c r="Q505" s="78"/>
    </row>
    <row r="506" ht="15" spans="1:17">
      <c r="A506" s="75"/>
      <c r="F506" s="76"/>
      <c r="G506" s="76"/>
      <c r="H506" s="76"/>
      <c r="I506" s="76"/>
      <c r="J506" s="76"/>
      <c r="K506" s="76"/>
      <c r="L506" s="76"/>
      <c r="M506" s="76"/>
      <c r="N506" s="77"/>
      <c r="Q506" s="78"/>
    </row>
    <row r="507" ht="15" spans="1:17">
      <c r="A507" s="75"/>
      <c r="F507" s="76"/>
      <c r="G507" s="76"/>
      <c r="H507" s="76"/>
      <c r="I507" s="76"/>
      <c r="J507" s="76"/>
      <c r="K507" s="76"/>
      <c r="L507" s="76"/>
      <c r="M507" s="76"/>
      <c r="N507" s="77"/>
      <c r="Q507" s="78"/>
    </row>
    <row r="508" ht="15" spans="1:17">
      <c r="A508" s="75"/>
      <c r="F508" s="76"/>
      <c r="G508" s="76"/>
      <c r="H508" s="76"/>
      <c r="I508" s="76"/>
      <c r="J508" s="76"/>
      <c r="K508" s="76"/>
      <c r="L508" s="76"/>
      <c r="M508" s="76"/>
      <c r="N508" s="77"/>
      <c r="Q508" s="78"/>
    </row>
    <row r="509" ht="15" spans="1:17">
      <c r="A509" s="75"/>
      <c r="F509" s="76"/>
      <c r="G509" s="76"/>
      <c r="H509" s="76"/>
      <c r="I509" s="76"/>
      <c r="J509" s="76"/>
      <c r="K509" s="76"/>
      <c r="L509" s="76"/>
      <c r="M509" s="76"/>
      <c r="N509" s="77"/>
      <c r="Q509" s="78"/>
    </row>
    <row r="510" ht="15" spans="1:17">
      <c r="A510" s="75"/>
      <c r="F510" s="76"/>
      <c r="G510" s="76"/>
      <c r="H510" s="76"/>
      <c r="I510" s="76"/>
      <c r="J510" s="76"/>
      <c r="K510" s="76"/>
      <c r="L510" s="76"/>
      <c r="M510" s="76"/>
      <c r="N510" s="77"/>
      <c r="Q510" s="78"/>
    </row>
    <row r="511" ht="15" spans="1:17">
      <c r="A511" s="75"/>
      <c r="F511" s="76"/>
      <c r="G511" s="76"/>
      <c r="H511" s="76"/>
      <c r="I511" s="76"/>
      <c r="J511" s="76"/>
      <c r="K511" s="76"/>
      <c r="L511" s="76"/>
      <c r="M511" s="76"/>
      <c r="N511" s="77"/>
      <c r="Q511" s="78"/>
    </row>
    <row r="512" ht="15" spans="1:17">
      <c r="A512" s="75"/>
      <c r="F512" s="76"/>
      <c r="G512" s="76"/>
      <c r="H512" s="76"/>
      <c r="I512" s="76"/>
      <c r="J512" s="76"/>
      <c r="K512" s="76"/>
      <c r="L512" s="76"/>
      <c r="M512" s="76"/>
      <c r="N512" s="77"/>
      <c r="Q512" s="78"/>
    </row>
    <row r="513" ht="15" spans="1:17">
      <c r="A513" s="75"/>
      <c r="F513" s="76"/>
      <c r="G513" s="76"/>
      <c r="H513" s="76"/>
      <c r="I513" s="76"/>
      <c r="J513" s="76"/>
      <c r="K513" s="76"/>
      <c r="L513" s="76"/>
      <c r="M513" s="76"/>
      <c r="N513" s="77"/>
      <c r="Q513" s="78"/>
    </row>
    <row r="514" ht="15" spans="1:17">
      <c r="A514" s="75"/>
      <c r="F514" s="76"/>
      <c r="G514" s="76"/>
      <c r="H514" s="76"/>
      <c r="I514" s="76"/>
      <c r="J514" s="76"/>
      <c r="K514" s="76"/>
      <c r="L514" s="76"/>
      <c r="M514" s="76"/>
      <c r="N514" s="77"/>
      <c r="Q514" s="78"/>
    </row>
    <row r="515" ht="15" spans="1:17">
      <c r="A515" s="75"/>
      <c r="F515" s="76"/>
      <c r="G515" s="76"/>
      <c r="H515" s="76"/>
      <c r="I515" s="76"/>
      <c r="J515" s="76"/>
      <c r="K515" s="76"/>
      <c r="L515" s="76"/>
      <c r="M515" s="76"/>
      <c r="N515" s="77"/>
      <c r="Q515" s="78"/>
    </row>
    <row r="516" ht="15" spans="1:17">
      <c r="A516" s="75"/>
      <c r="F516" s="76"/>
      <c r="G516" s="76"/>
      <c r="H516" s="76"/>
      <c r="I516" s="76"/>
      <c r="J516" s="76"/>
      <c r="K516" s="76"/>
      <c r="L516" s="76"/>
      <c r="M516" s="76"/>
      <c r="N516" s="77"/>
      <c r="Q516" s="78"/>
    </row>
    <row r="517" ht="15" spans="1:17">
      <c r="A517" s="75"/>
      <c r="F517" s="76"/>
      <c r="G517" s="76"/>
      <c r="H517" s="76"/>
      <c r="I517" s="76"/>
      <c r="J517" s="76"/>
      <c r="K517" s="76"/>
      <c r="L517" s="76"/>
      <c r="M517" s="76"/>
      <c r="N517" s="77"/>
      <c r="Q517" s="78"/>
    </row>
    <row r="518" ht="15" spans="1:17">
      <c r="A518" s="75"/>
      <c r="F518" s="76"/>
      <c r="G518" s="76"/>
      <c r="H518" s="76"/>
      <c r="I518" s="76"/>
      <c r="J518" s="76"/>
      <c r="K518" s="76"/>
      <c r="L518" s="76"/>
      <c r="M518" s="76"/>
      <c r="N518" s="77"/>
      <c r="Q518" s="78"/>
    </row>
    <row r="519" ht="15" spans="1:17">
      <c r="A519" s="75"/>
      <c r="F519" s="76"/>
      <c r="G519" s="76"/>
      <c r="H519" s="76"/>
      <c r="I519" s="76"/>
      <c r="J519" s="76"/>
      <c r="K519" s="76"/>
      <c r="L519" s="76"/>
      <c r="M519" s="76"/>
      <c r="N519" s="77"/>
      <c r="Q519" s="78"/>
    </row>
    <row r="520" ht="15" spans="1:17">
      <c r="A520" s="75"/>
      <c r="F520" s="76"/>
      <c r="G520" s="76"/>
      <c r="H520" s="76"/>
      <c r="I520" s="76"/>
      <c r="J520" s="76"/>
      <c r="K520" s="76"/>
      <c r="L520" s="76"/>
      <c r="M520" s="76"/>
      <c r="N520" s="77"/>
      <c r="Q520" s="78"/>
    </row>
    <row r="521" ht="15" spans="1:17">
      <c r="A521" s="75"/>
      <c r="F521" s="76"/>
      <c r="G521" s="76"/>
      <c r="H521" s="76"/>
      <c r="I521" s="76"/>
      <c r="J521" s="76"/>
      <c r="K521" s="76"/>
      <c r="L521" s="76"/>
      <c r="M521" s="76"/>
      <c r="N521" s="77"/>
      <c r="Q521" s="78"/>
    </row>
    <row r="522" ht="15" spans="1:17">
      <c r="A522" s="75"/>
      <c r="F522" s="76"/>
      <c r="G522" s="76"/>
      <c r="H522" s="76"/>
      <c r="I522" s="76"/>
      <c r="J522" s="76"/>
      <c r="K522" s="76"/>
      <c r="L522" s="76"/>
      <c r="M522" s="76"/>
      <c r="N522" s="77"/>
      <c r="Q522" s="78"/>
    </row>
    <row r="523" ht="15" spans="1:17">
      <c r="A523" s="75"/>
      <c r="F523" s="76"/>
      <c r="G523" s="76"/>
      <c r="H523" s="76"/>
      <c r="I523" s="76"/>
      <c r="J523" s="76"/>
      <c r="K523" s="76"/>
      <c r="L523" s="76"/>
      <c r="M523" s="76"/>
      <c r="N523" s="77"/>
      <c r="Q523" s="78"/>
    </row>
    <row r="524" ht="15" spans="1:17">
      <c r="A524" s="75"/>
      <c r="F524" s="76"/>
      <c r="G524" s="76"/>
      <c r="H524" s="76"/>
      <c r="I524" s="76"/>
      <c r="J524" s="76"/>
      <c r="K524" s="76"/>
      <c r="L524" s="76"/>
      <c r="M524" s="76"/>
      <c r="N524" s="77"/>
      <c r="Q524" s="78"/>
    </row>
    <row r="525" ht="15" spans="1:17">
      <c r="A525" s="75"/>
      <c r="F525" s="76"/>
      <c r="G525" s="76"/>
      <c r="H525" s="76"/>
      <c r="I525" s="76"/>
      <c r="J525" s="76"/>
      <c r="K525" s="76"/>
      <c r="L525" s="76"/>
      <c r="M525" s="76"/>
      <c r="N525" s="77"/>
      <c r="Q525" s="78"/>
    </row>
    <row r="526" ht="15" spans="1:17">
      <c r="A526" s="75"/>
      <c r="F526" s="76"/>
      <c r="G526" s="76"/>
      <c r="H526" s="76"/>
      <c r="I526" s="76"/>
      <c r="J526" s="76"/>
      <c r="K526" s="76"/>
      <c r="L526" s="76"/>
      <c r="M526" s="76"/>
      <c r="N526" s="77"/>
      <c r="Q526" s="78"/>
    </row>
    <row r="527" ht="15" spans="1:17">
      <c r="A527" s="75"/>
      <c r="F527" s="76"/>
      <c r="G527" s="76"/>
      <c r="H527" s="76"/>
      <c r="I527" s="76"/>
      <c r="J527" s="76"/>
      <c r="K527" s="76"/>
      <c r="L527" s="76"/>
      <c r="M527" s="76"/>
      <c r="N527" s="77"/>
      <c r="Q527" s="78"/>
    </row>
    <row r="528" ht="15" spans="1:17">
      <c r="A528" s="75"/>
      <c r="F528" s="76"/>
      <c r="G528" s="76"/>
      <c r="H528" s="76"/>
      <c r="I528" s="76"/>
      <c r="J528" s="76"/>
      <c r="K528" s="76"/>
      <c r="L528" s="76"/>
      <c r="M528" s="76"/>
      <c r="N528" s="77"/>
      <c r="Q528" s="78"/>
    </row>
    <row r="529" ht="15" spans="1:17">
      <c r="A529" s="75"/>
      <c r="F529" s="76"/>
      <c r="G529" s="76"/>
      <c r="H529" s="76"/>
      <c r="I529" s="76"/>
      <c r="J529" s="76"/>
      <c r="K529" s="76"/>
      <c r="L529" s="76"/>
      <c r="M529" s="76"/>
      <c r="N529" s="77"/>
      <c r="Q529" s="78"/>
    </row>
    <row r="530" ht="15" spans="1:17">
      <c r="A530" s="75"/>
      <c r="F530" s="76"/>
      <c r="G530" s="76"/>
      <c r="H530" s="76"/>
      <c r="I530" s="76"/>
      <c r="J530" s="76"/>
      <c r="K530" s="76"/>
      <c r="L530" s="76"/>
      <c r="M530" s="76"/>
      <c r="N530" s="77"/>
      <c r="Q530" s="78"/>
    </row>
    <row r="531" ht="15" spans="1:17">
      <c r="A531" s="75"/>
      <c r="F531" s="76"/>
      <c r="G531" s="76"/>
      <c r="H531" s="76"/>
      <c r="I531" s="76"/>
      <c r="J531" s="76"/>
      <c r="K531" s="76"/>
      <c r="L531" s="76"/>
      <c r="M531" s="76"/>
      <c r="N531" s="77"/>
      <c r="Q531" s="78"/>
    </row>
    <row r="532" ht="15" spans="1:17">
      <c r="A532" s="75"/>
      <c r="F532" s="76"/>
      <c r="G532" s="76"/>
      <c r="H532" s="76"/>
      <c r="I532" s="76"/>
      <c r="J532" s="76"/>
      <c r="K532" s="76"/>
      <c r="L532" s="76"/>
      <c r="M532" s="76"/>
      <c r="N532" s="77"/>
      <c r="Q532" s="78"/>
    </row>
    <row r="533" ht="15" spans="1:17">
      <c r="A533" s="75"/>
      <c r="F533" s="76"/>
      <c r="G533" s="76"/>
      <c r="H533" s="76"/>
      <c r="I533" s="76"/>
      <c r="J533" s="76"/>
      <c r="K533" s="76"/>
      <c r="L533" s="76"/>
      <c r="M533" s="76"/>
      <c r="N533" s="77"/>
      <c r="Q533" s="78"/>
    </row>
    <row r="534" ht="15" spans="1:17">
      <c r="A534" s="75"/>
      <c r="F534" s="76"/>
      <c r="G534" s="76"/>
      <c r="H534" s="76"/>
      <c r="I534" s="76"/>
      <c r="J534" s="76"/>
      <c r="K534" s="76"/>
      <c r="L534" s="76"/>
      <c r="M534" s="76"/>
      <c r="N534" s="77"/>
      <c r="Q534" s="78"/>
    </row>
    <row r="535" ht="15" spans="1:17">
      <c r="A535" s="75"/>
      <c r="F535" s="76"/>
      <c r="G535" s="76"/>
      <c r="H535" s="76"/>
      <c r="I535" s="76"/>
      <c r="J535" s="76"/>
      <c r="K535" s="76"/>
      <c r="L535" s="76"/>
      <c r="M535" s="76"/>
      <c r="N535" s="77"/>
      <c r="Q535" s="78"/>
    </row>
    <row r="536" ht="15" spans="1:17">
      <c r="A536" s="75"/>
      <c r="F536" s="76"/>
      <c r="G536" s="76"/>
      <c r="H536" s="76"/>
      <c r="I536" s="76"/>
      <c r="J536" s="76"/>
      <c r="K536" s="76"/>
      <c r="L536" s="76"/>
      <c r="M536" s="76"/>
      <c r="N536" s="77"/>
      <c r="Q536" s="78"/>
    </row>
    <row r="537" ht="15" spans="1:17">
      <c r="A537" s="75"/>
      <c r="F537" s="76"/>
      <c r="G537" s="76"/>
      <c r="H537" s="76"/>
      <c r="I537" s="76"/>
      <c r="J537" s="76"/>
      <c r="K537" s="76"/>
      <c r="L537" s="76"/>
      <c r="M537" s="76"/>
      <c r="N537" s="77"/>
      <c r="Q537" s="78"/>
    </row>
    <row r="538" ht="15" spans="1:17">
      <c r="A538" s="75"/>
      <c r="F538" s="76"/>
      <c r="G538" s="76"/>
      <c r="H538" s="76"/>
      <c r="I538" s="76"/>
      <c r="J538" s="76"/>
      <c r="K538" s="76"/>
      <c r="L538" s="76"/>
      <c r="M538" s="76"/>
      <c r="N538" s="77"/>
      <c r="Q538" s="78"/>
    </row>
    <row r="539" ht="15" spans="1:17">
      <c r="A539" s="75"/>
      <c r="F539" s="76"/>
      <c r="G539" s="76"/>
      <c r="H539" s="76"/>
      <c r="I539" s="76"/>
      <c r="J539" s="76"/>
      <c r="K539" s="76"/>
      <c r="L539" s="76"/>
      <c r="M539" s="76"/>
      <c r="N539" s="77"/>
      <c r="Q539" s="78"/>
    </row>
    <row r="540" ht="15" spans="1:17">
      <c r="A540" s="75"/>
      <c r="F540" s="76"/>
      <c r="G540" s="76"/>
      <c r="H540" s="76"/>
      <c r="I540" s="76"/>
      <c r="J540" s="76"/>
      <c r="K540" s="76"/>
      <c r="L540" s="76"/>
      <c r="M540" s="76"/>
      <c r="N540" s="77"/>
      <c r="Q540" s="78"/>
    </row>
    <row r="541" ht="15" spans="1:17">
      <c r="A541" s="75"/>
      <c r="F541" s="76"/>
      <c r="G541" s="76"/>
      <c r="H541" s="76"/>
      <c r="I541" s="76"/>
      <c r="J541" s="76"/>
      <c r="K541" s="76"/>
      <c r="L541" s="76"/>
      <c r="M541" s="76"/>
      <c r="N541" s="77"/>
      <c r="Q541" s="78"/>
    </row>
    <row r="542" ht="15" spans="1:17">
      <c r="A542" s="75"/>
      <c r="F542" s="76"/>
      <c r="G542" s="76"/>
      <c r="H542" s="76"/>
      <c r="I542" s="76"/>
      <c r="J542" s="76"/>
      <c r="K542" s="76"/>
      <c r="L542" s="76"/>
      <c r="M542" s="76"/>
      <c r="N542" s="77"/>
      <c r="Q542" s="78"/>
    </row>
    <row r="543" ht="15" spans="1:17">
      <c r="A543" s="75"/>
      <c r="F543" s="76"/>
      <c r="G543" s="76"/>
      <c r="H543" s="76"/>
      <c r="I543" s="76"/>
      <c r="J543" s="76"/>
      <c r="K543" s="76"/>
      <c r="L543" s="76"/>
      <c r="M543" s="76"/>
      <c r="N543" s="77"/>
      <c r="Q543" s="78"/>
    </row>
    <row r="544" ht="15" spans="1:17">
      <c r="A544" s="75"/>
      <c r="F544" s="76"/>
      <c r="G544" s="76"/>
      <c r="H544" s="76"/>
      <c r="I544" s="76"/>
      <c r="J544" s="76"/>
      <c r="K544" s="76"/>
      <c r="L544" s="76"/>
      <c r="M544" s="76"/>
      <c r="N544" s="77"/>
      <c r="Q544" s="78"/>
    </row>
    <row r="545" ht="15" spans="1:17">
      <c r="A545" s="75"/>
      <c r="F545" s="76"/>
      <c r="G545" s="76"/>
      <c r="H545" s="76"/>
      <c r="I545" s="76"/>
      <c r="J545" s="76"/>
      <c r="K545" s="76"/>
      <c r="L545" s="76"/>
      <c r="M545" s="76"/>
      <c r="N545" s="77"/>
      <c r="Q545" s="78"/>
    </row>
    <row r="546" ht="15" spans="1:17">
      <c r="A546" s="75"/>
      <c r="F546" s="76"/>
      <c r="G546" s="76"/>
      <c r="H546" s="76"/>
      <c r="I546" s="76"/>
      <c r="J546" s="76"/>
      <c r="K546" s="76"/>
      <c r="L546" s="76"/>
      <c r="M546" s="76"/>
      <c r="N546" s="77"/>
      <c r="Q546" s="78"/>
    </row>
    <row r="547" ht="15" spans="1:17">
      <c r="A547" s="75"/>
      <c r="F547" s="76"/>
      <c r="G547" s="76"/>
      <c r="H547" s="76"/>
      <c r="I547" s="76"/>
      <c r="J547" s="76"/>
      <c r="K547" s="76"/>
      <c r="L547" s="76"/>
      <c r="M547" s="76"/>
      <c r="N547" s="77"/>
      <c r="Q547" s="78"/>
    </row>
    <row r="548" ht="15" spans="1:17">
      <c r="A548" s="75"/>
      <c r="F548" s="76"/>
      <c r="G548" s="76"/>
      <c r="H548" s="76"/>
      <c r="I548" s="76"/>
      <c r="J548" s="76"/>
      <c r="K548" s="76"/>
      <c r="L548" s="76"/>
      <c r="M548" s="76"/>
      <c r="N548" s="77"/>
      <c r="Q548" s="78"/>
    </row>
    <row r="549" ht="15" spans="1:17">
      <c r="A549" s="75"/>
      <c r="F549" s="76"/>
      <c r="G549" s="76"/>
      <c r="H549" s="76"/>
      <c r="I549" s="76"/>
      <c r="J549" s="76"/>
      <c r="K549" s="76"/>
      <c r="L549" s="76"/>
      <c r="M549" s="76"/>
      <c r="N549" s="77"/>
      <c r="Q549" s="78"/>
    </row>
    <row r="550" ht="15" spans="1:17">
      <c r="A550" s="75"/>
      <c r="F550" s="76"/>
      <c r="G550" s="76"/>
      <c r="H550" s="76"/>
      <c r="I550" s="76"/>
      <c r="J550" s="76"/>
      <c r="K550" s="76"/>
      <c r="L550" s="76"/>
      <c r="M550" s="76"/>
      <c r="N550" s="77"/>
      <c r="Q550" s="78"/>
    </row>
    <row r="551" ht="15" spans="1:17">
      <c r="A551" s="75"/>
      <c r="F551" s="76"/>
      <c r="G551" s="76"/>
      <c r="H551" s="76"/>
      <c r="I551" s="76"/>
      <c r="J551" s="76"/>
      <c r="K551" s="76"/>
      <c r="L551" s="76"/>
      <c r="M551" s="76"/>
      <c r="N551" s="77"/>
      <c r="Q551" s="78"/>
    </row>
    <row r="552" ht="15" spans="1:17">
      <c r="A552" s="75"/>
      <c r="F552" s="76"/>
      <c r="G552" s="76"/>
      <c r="H552" s="76"/>
      <c r="I552" s="76"/>
      <c r="J552" s="76"/>
      <c r="K552" s="76"/>
      <c r="L552" s="76"/>
      <c r="M552" s="76"/>
      <c r="N552" s="77"/>
      <c r="Q552" s="78"/>
    </row>
    <row r="553" ht="15" spans="1:17">
      <c r="A553" s="75"/>
      <c r="F553" s="76"/>
      <c r="G553" s="76"/>
      <c r="H553" s="76"/>
      <c r="I553" s="76"/>
      <c r="J553" s="76"/>
      <c r="K553" s="76"/>
      <c r="L553" s="76"/>
      <c r="M553" s="76"/>
      <c r="N553" s="77"/>
      <c r="Q553" s="78"/>
    </row>
    <row r="554" ht="15" spans="1:17">
      <c r="A554" s="75"/>
      <c r="F554" s="76"/>
      <c r="G554" s="76"/>
      <c r="H554" s="76"/>
      <c r="I554" s="76"/>
      <c r="J554" s="76"/>
      <c r="K554" s="76"/>
      <c r="L554" s="76"/>
      <c r="M554" s="76"/>
      <c r="N554" s="77"/>
      <c r="Q554" s="78"/>
    </row>
    <row r="555" ht="15" spans="1:17">
      <c r="A555" s="75"/>
      <c r="F555" s="76"/>
      <c r="G555" s="76"/>
      <c r="H555" s="76"/>
      <c r="I555" s="76"/>
      <c r="J555" s="76"/>
      <c r="K555" s="76"/>
      <c r="L555" s="76"/>
      <c r="M555" s="76"/>
      <c r="N555" s="77"/>
      <c r="Q555" s="78"/>
    </row>
    <row r="556" ht="15" spans="1:17">
      <c r="A556" s="75"/>
      <c r="F556" s="76"/>
      <c r="G556" s="76"/>
      <c r="H556" s="76"/>
      <c r="I556" s="76"/>
      <c r="J556" s="76"/>
      <c r="K556" s="76"/>
      <c r="L556" s="76"/>
      <c r="M556" s="76"/>
      <c r="N556" s="77"/>
      <c r="Q556" s="78"/>
    </row>
    <row r="557" ht="15" spans="1:17">
      <c r="A557" s="75"/>
      <c r="F557" s="76"/>
      <c r="G557" s="76"/>
      <c r="H557" s="76"/>
      <c r="I557" s="76"/>
      <c r="J557" s="76"/>
      <c r="K557" s="76"/>
      <c r="L557" s="76"/>
      <c r="M557" s="76"/>
      <c r="N557" s="77"/>
      <c r="Q557" s="78"/>
    </row>
    <row r="558" ht="15" spans="1:17">
      <c r="A558" s="75"/>
      <c r="F558" s="76"/>
      <c r="G558" s="76"/>
      <c r="H558" s="76"/>
      <c r="I558" s="76"/>
      <c r="J558" s="76"/>
      <c r="K558" s="76"/>
      <c r="L558" s="76"/>
      <c r="M558" s="76"/>
      <c r="N558" s="77"/>
      <c r="Q558" s="78"/>
    </row>
    <row r="559" ht="15" spans="1:17">
      <c r="A559" s="75"/>
      <c r="F559" s="76"/>
      <c r="G559" s="76"/>
      <c r="H559" s="76"/>
      <c r="I559" s="76"/>
      <c r="J559" s="76"/>
      <c r="K559" s="76"/>
      <c r="L559" s="76"/>
      <c r="M559" s="76"/>
      <c r="N559" s="77"/>
      <c r="Q559" s="78"/>
    </row>
    <row r="560" ht="15" spans="1:17">
      <c r="A560" s="75"/>
      <c r="F560" s="76"/>
      <c r="G560" s="76"/>
      <c r="H560" s="76"/>
      <c r="I560" s="76"/>
      <c r="J560" s="76"/>
      <c r="K560" s="76"/>
      <c r="L560" s="76"/>
      <c r="M560" s="76"/>
      <c r="N560" s="77"/>
      <c r="Q560" s="78"/>
    </row>
    <row r="561" ht="15" spans="1:17">
      <c r="A561" s="75"/>
      <c r="F561" s="76"/>
      <c r="G561" s="76"/>
      <c r="H561" s="76"/>
      <c r="I561" s="76"/>
      <c r="J561" s="76"/>
      <c r="K561" s="76"/>
      <c r="L561" s="76"/>
      <c r="M561" s="76"/>
      <c r="N561" s="77"/>
      <c r="Q561" s="78"/>
    </row>
    <row r="562" ht="15" spans="1:17">
      <c r="A562" s="75"/>
      <c r="F562" s="76"/>
      <c r="G562" s="76"/>
      <c r="H562" s="76"/>
      <c r="I562" s="76"/>
      <c r="J562" s="76"/>
      <c r="K562" s="76"/>
      <c r="L562" s="76"/>
      <c r="M562" s="76"/>
      <c r="N562" s="77"/>
      <c r="Q562" s="78"/>
    </row>
    <row r="563" ht="15" spans="1:17">
      <c r="A563" s="75"/>
      <c r="F563" s="76"/>
      <c r="G563" s="76"/>
      <c r="H563" s="76"/>
      <c r="I563" s="76"/>
      <c r="J563" s="76"/>
      <c r="K563" s="76"/>
      <c r="L563" s="76"/>
      <c r="M563" s="76"/>
      <c r="N563" s="77"/>
      <c r="Q563" s="78"/>
    </row>
    <row r="564" ht="15" spans="1:17">
      <c r="A564" s="75"/>
      <c r="F564" s="76"/>
      <c r="G564" s="76"/>
      <c r="H564" s="76"/>
      <c r="I564" s="76"/>
      <c r="J564" s="76"/>
      <c r="K564" s="76"/>
      <c r="L564" s="76"/>
      <c r="M564" s="76"/>
      <c r="N564" s="77"/>
      <c r="Q564" s="78"/>
    </row>
    <row r="565" ht="15" spans="1:17">
      <c r="A565" s="75"/>
      <c r="F565" s="76"/>
      <c r="G565" s="76"/>
      <c r="H565" s="76"/>
      <c r="I565" s="76"/>
      <c r="J565" s="76"/>
      <c r="K565" s="76"/>
      <c r="L565" s="76"/>
      <c r="M565" s="76"/>
      <c r="N565" s="77"/>
      <c r="Q565" s="78"/>
    </row>
    <row r="566" ht="15" spans="1:17">
      <c r="A566" s="75"/>
      <c r="F566" s="76"/>
      <c r="G566" s="76"/>
      <c r="H566" s="76"/>
      <c r="I566" s="76"/>
      <c r="J566" s="76"/>
      <c r="K566" s="76"/>
      <c r="L566" s="76"/>
      <c r="M566" s="76"/>
      <c r="N566" s="77"/>
      <c r="Q566" s="78"/>
    </row>
    <row r="567" ht="15" spans="1:17">
      <c r="A567" s="75"/>
      <c r="F567" s="76"/>
      <c r="G567" s="76"/>
      <c r="H567" s="76"/>
      <c r="I567" s="76"/>
      <c r="J567" s="76"/>
      <c r="K567" s="76"/>
      <c r="L567" s="76"/>
      <c r="M567" s="76"/>
      <c r="N567" s="77"/>
      <c r="Q567" s="78"/>
    </row>
    <row r="568" ht="15" spans="1:17">
      <c r="A568" s="75"/>
      <c r="F568" s="76"/>
      <c r="G568" s="76"/>
      <c r="H568" s="76"/>
      <c r="I568" s="76"/>
      <c r="J568" s="76"/>
      <c r="K568" s="76"/>
      <c r="L568" s="76"/>
      <c r="M568" s="76"/>
      <c r="N568" s="77"/>
      <c r="Q568" s="78"/>
    </row>
    <row r="569" ht="15" spans="1:17">
      <c r="A569" s="75"/>
      <c r="F569" s="76"/>
      <c r="G569" s="76"/>
      <c r="H569" s="76"/>
      <c r="I569" s="76"/>
      <c r="J569" s="76"/>
      <c r="K569" s="76"/>
      <c r="L569" s="76"/>
      <c r="M569" s="76"/>
      <c r="N569" s="77"/>
      <c r="Q569" s="78"/>
    </row>
    <row r="570" ht="15" spans="1:17">
      <c r="A570" s="75"/>
      <c r="F570" s="76"/>
      <c r="G570" s="76"/>
      <c r="H570" s="76"/>
      <c r="I570" s="76"/>
      <c r="J570" s="76"/>
      <c r="K570" s="76"/>
      <c r="L570" s="76"/>
      <c r="M570" s="76"/>
      <c r="N570" s="77"/>
      <c r="Q570" s="78"/>
    </row>
    <row r="571" ht="15" spans="1:17">
      <c r="A571" s="75"/>
      <c r="F571" s="76"/>
      <c r="G571" s="76"/>
      <c r="H571" s="76"/>
      <c r="I571" s="76"/>
      <c r="J571" s="76"/>
      <c r="K571" s="76"/>
      <c r="L571" s="76"/>
      <c r="M571" s="76"/>
      <c r="N571" s="77"/>
      <c r="Q571" s="78"/>
    </row>
    <row r="572" ht="15" spans="1:17">
      <c r="A572" s="75"/>
      <c r="F572" s="76"/>
      <c r="G572" s="76"/>
      <c r="H572" s="76"/>
      <c r="I572" s="76"/>
      <c r="J572" s="76"/>
      <c r="K572" s="76"/>
      <c r="L572" s="76"/>
      <c r="M572" s="76"/>
      <c r="N572" s="77"/>
      <c r="Q572" s="78"/>
    </row>
    <row r="573" ht="15" spans="1:17">
      <c r="A573" s="75"/>
      <c r="F573" s="76"/>
      <c r="G573" s="76"/>
      <c r="H573" s="76"/>
      <c r="I573" s="76"/>
      <c r="J573" s="76"/>
      <c r="K573" s="76"/>
      <c r="L573" s="76"/>
      <c r="M573" s="76"/>
      <c r="N573" s="77"/>
      <c r="Q573" s="78"/>
    </row>
    <row r="574" ht="15" spans="1:17">
      <c r="A574" s="75"/>
      <c r="F574" s="76"/>
      <c r="G574" s="76"/>
      <c r="H574" s="76"/>
      <c r="I574" s="76"/>
      <c r="J574" s="76"/>
      <c r="K574" s="76"/>
      <c r="L574" s="76"/>
      <c r="M574" s="76"/>
      <c r="N574" s="77"/>
      <c r="Q574" s="78"/>
    </row>
    <row r="575" ht="15" spans="1:17">
      <c r="A575" s="75"/>
      <c r="F575" s="76"/>
      <c r="G575" s="76"/>
      <c r="H575" s="76"/>
      <c r="I575" s="76"/>
      <c r="J575" s="76"/>
      <c r="K575" s="76"/>
      <c r="L575" s="76"/>
      <c r="M575" s="76"/>
      <c r="N575" s="77"/>
      <c r="Q575" s="78"/>
    </row>
    <row r="576" ht="15" spans="1:17">
      <c r="A576" s="75"/>
      <c r="F576" s="76"/>
      <c r="G576" s="76"/>
      <c r="H576" s="76"/>
      <c r="I576" s="76"/>
      <c r="J576" s="76"/>
      <c r="K576" s="76"/>
      <c r="L576" s="76"/>
      <c r="M576" s="76"/>
      <c r="N576" s="77"/>
      <c r="Q576" s="78"/>
    </row>
    <row r="577" ht="15" spans="1:17">
      <c r="A577" s="75"/>
      <c r="F577" s="76"/>
      <c r="G577" s="76"/>
      <c r="H577" s="76"/>
      <c r="I577" s="76"/>
      <c r="J577" s="76"/>
      <c r="K577" s="76"/>
      <c r="L577" s="76"/>
      <c r="M577" s="76"/>
      <c r="N577" s="77"/>
      <c r="Q577" s="78"/>
    </row>
    <row r="578" ht="15" spans="1:17">
      <c r="A578" s="75"/>
      <c r="F578" s="76"/>
      <c r="G578" s="76"/>
      <c r="H578" s="76"/>
      <c r="I578" s="76"/>
      <c r="J578" s="76"/>
      <c r="K578" s="76"/>
      <c r="L578" s="76"/>
      <c r="M578" s="76"/>
      <c r="N578" s="77"/>
      <c r="Q578" s="78"/>
    </row>
    <row r="579" ht="15" spans="1:17">
      <c r="A579" s="75"/>
      <c r="F579" s="76"/>
      <c r="G579" s="76"/>
      <c r="H579" s="76"/>
      <c r="I579" s="76"/>
      <c r="J579" s="76"/>
      <c r="K579" s="76"/>
      <c r="L579" s="76"/>
      <c r="M579" s="76"/>
      <c r="N579" s="77"/>
      <c r="Q579" s="78"/>
    </row>
    <row r="580" ht="15" spans="1:17">
      <c r="A580" s="75"/>
      <c r="F580" s="76"/>
      <c r="G580" s="76"/>
      <c r="H580" s="76"/>
      <c r="I580" s="76"/>
      <c r="J580" s="76"/>
      <c r="K580" s="76"/>
      <c r="L580" s="76"/>
      <c r="M580" s="76"/>
      <c r="N580" s="77"/>
      <c r="Q580" s="78"/>
    </row>
    <row r="581" ht="15" spans="1:17">
      <c r="A581" s="75"/>
      <c r="F581" s="76"/>
      <c r="G581" s="76"/>
      <c r="H581" s="76"/>
      <c r="I581" s="76"/>
      <c r="J581" s="76"/>
      <c r="K581" s="76"/>
      <c r="L581" s="76"/>
      <c r="M581" s="76"/>
      <c r="N581" s="77"/>
      <c r="Q581" s="78"/>
    </row>
    <row r="582" ht="15" spans="1:17">
      <c r="A582" s="75"/>
      <c r="F582" s="76"/>
      <c r="G582" s="76"/>
      <c r="H582" s="76"/>
      <c r="I582" s="76"/>
      <c r="J582" s="76"/>
      <c r="K582" s="76"/>
      <c r="L582" s="76"/>
      <c r="M582" s="76"/>
      <c r="N582" s="77"/>
      <c r="Q582" s="78"/>
    </row>
    <row r="583" ht="15" spans="1:17">
      <c r="A583" s="75"/>
      <c r="F583" s="76"/>
      <c r="G583" s="76"/>
      <c r="H583" s="76"/>
      <c r="I583" s="76"/>
      <c r="J583" s="76"/>
      <c r="K583" s="76"/>
      <c r="L583" s="76"/>
      <c r="M583" s="76"/>
      <c r="N583" s="77"/>
      <c r="Q583" s="78"/>
    </row>
    <row r="584" ht="15" spans="1:17">
      <c r="A584" s="75"/>
      <c r="F584" s="76"/>
      <c r="G584" s="76"/>
      <c r="H584" s="76"/>
      <c r="I584" s="76"/>
      <c r="J584" s="76"/>
      <c r="K584" s="76"/>
      <c r="L584" s="76"/>
      <c r="M584" s="76"/>
      <c r="N584" s="77"/>
      <c r="Q584" s="78"/>
    </row>
    <row r="585" ht="15" spans="1:17">
      <c r="A585" s="75"/>
      <c r="F585" s="76"/>
      <c r="G585" s="76"/>
      <c r="H585" s="76"/>
      <c r="I585" s="76"/>
      <c r="J585" s="76"/>
      <c r="K585" s="76"/>
      <c r="L585" s="76"/>
      <c r="M585" s="76"/>
      <c r="N585" s="77"/>
      <c r="Q585" s="78"/>
    </row>
    <row r="586" ht="15" spans="1:17">
      <c r="A586" s="75"/>
      <c r="F586" s="76"/>
      <c r="G586" s="76"/>
      <c r="H586" s="76"/>
      <c r="I586" s="76"/>
      <c r="J586" s="76"/>
      <c r="K586" s="76"/>
      <c r="L586" s="76"/>
      <c r="M586" s="76"/>
      <c r="N586" s="77"/>
      <c r="Q586" s="78"/>
    </row>
    <row r="587" ht="15" spans="1:17">
      <c r="A587" s="75"/>
      <c r="F587" s="76"/>
      <c r="G587" s="76"/>
      <c r="H587" s="76"/>
      <c r="I587" s="76"/>
      <c r="J587" s="76"/>
      <c r="K587" s="76"/>
      <c r="L587" s="76"/>
      <c r="M587" s="76"/>
      <c r="N587" s="77"/>
      <c r="Q587" s="78"/>
    </row>
    <row r="588" ht="15" spans="1:17">
      <c r="A588" s="75"/>
      <c r="F588" s="76"/>
      <c r="G588" s="76"/>
      <c r="H588" s="76"/>
      <c r="I588" s="76"/>
      <c r="J588" s="76"/>
      <c r="K588" s="76"/>
      <c r="L588" s="76"/>
      <c r="M588" s="76"/>
      <c r="N588" s="77"/>
      <c r="Q588" s="78"/>
    </row>
    <row r="589" ht="15" spans="1:17">
      <c r="A589" s="75"/>
      <c r="F589" s="76"/>
      <c r="G589" s="76"/>
      <c r="H589" s="76"/>
      <c r="I589" s="76"/>
      <c r="J589" s="76"/>
      <c r="K589" s="76"/>
      <c r="L589" s="76"/>
      <c r="M589" s="76"/>
      <c r="N589" s="77"/>
      <c r="Q589" s="78"/>
    </row>
    <row r="590" ht="15" spans="1:17">
      <c r="A590" s="75"/>
      <c r="F590" s="76"/>
      <c r="G590" s="76"/>
      <c r="H590" s="76"/>
      <c r="I590" s="76"/>
      <c r="J590" s="76"/>
      <c r="K590" s="76"/>
      <c r="L590" s="76"/>
      <c r="M590" s="76"/>
      <c r="N590" s="77"/>
      <c r="Q590" s="78"/>
    </row>
    <row r="591" ht="15" spans="1:17">
      <c r="A591" s="75"/>
      <c r="F591" s="76"/>
      <c r="G591" s="76"/>
      <c r="H591" s="76"/>
      <c r="I591" s="76"/>
      <c r="J591" s="76"/>
      <c r="K591" s="76"/>
      <c r="L591" s="76"/>
      <c r="M591" s="76"/>
      <c r="N591" s="77"/>
      <c r="Q591" s="78"/>
    </row>
    <row r="592" ht="15" spans="1:17">
      <c r="A592" s="75"/>
      <c r="F592" s="76"/>
      <c r="G592" s="76"/>
      <c r="H592" s="76"/>
      <c r="I592" s="76"/>
      <c r="J592" s="76"/>
      <c r="K592" s="76"/>
      <c r="L592" s="76"/>
      <c r="M592" s="76"/>
      <c r="N592" s="77"/>
      <c r="Q592" s="78"/>
    </row>
    <row r="593" ht="15" spans="1:17">
      <c r="A593" s="75"/>
      <c r="F593" s="76"/>
      <c r="G593" s="76"/>
      <c r="H593" s="76"/>
      <c r="I593" s="76"/>
      <c r="J593" s="76"/>
      <c r="K593" s="76"/>
      <c r="L593" s="76"/>
      <c r="M593" s="76"/>
      <c r="N593" s="77"/>
      <c r="Q593" s="78"/>
    </row>
    <row r="594" ht="15" spans="1:17">
      <c r="A594" s="75"/>
      <c r="F594" s="76"/>
      <c r="G594" s="76"/>
      <c r="H594" s="76"/>
      <c r="I594" s="76"/>
      <c r="J594" s="76"/>
      <c r="K594" s="76"/>
      <c r="L594" s="76"/>
      <c r="M594" s="76"/>
      <c r="N594" s="77"/>
      <c r="Q594" s="78"/>
    </row>
    <row r="595" ht="15" spans="1:17">
      <c r="A595" s="75"/>
      <c r="F595" s="76"/>
      <c r="G595" s="76"/>
      <c r="H595" s="76"/>
      <c r="I595" s="76"/>
      <c r="J595" s="76"/>
      <c r="K595" s="76"/>
      <c r="L595" s="76"/>
      <c r="M595" s="76"/>
      <c r="N595" s="77"/>
      <c r="Q595" s="78"/>
    </row>
    <row r="596" ht="15" spans="1:17">
      <c r="A596" s="75"/>
      <c r="F596" s="76"/>
      <c r="G596" s="76"/>
      <c r="H596" s="76"/>
      <c r="I596" s="76"/>
      <c r="J596" s="76"/>
      <c r="K596" s="76"/>
      <c r="L596" s="76"/>
      <c r="M596" s="76"/>
      <c r="N596" s="77"/>
      <c r="Q596" s="78"/>
    </row>
    <row r="597" ht="15" spans="1:17">
      <c r="A597" s="75"/>
      <c r="F597" s="76"/>
      <c r="G597" s="76"/>
      <c r="H597" s="76"/>
      <c r="I597" s="76"/>
      <c r="J597" s="76"/>
      <c r="K597" s="76"/>
      <c r="L597" s="76"/>
      <c r="M597" s="76"/>
      <c r="N597" s="77"/>
      <c r="Q597" s="78"/>
    </row>
    <row r="598" ht="15" spans="1:17">
      <c r="A598" s="75"/>
      <c r="F598" s="76"/>
      <c r="G598" s="76"/>
      <c r="H598" s="76"/>
      <c r="I598" s="76"/>
      <c r="J598" s="76"/>
      <c r="K598" s="76"/>
      <c r="L598" s="76"/>
      <c r="M598" s="76"/>
      <c r="N598" s="77"/>
      <c r="Q598" s="78"/>
    </row>
    <row r="599" ht="15" spans="1:17">
      <c r="A599" s="75"/>
      <c r="F599" s="76"/>
      <c r="G599" s="76"/>
      <c r="H599" s="76"/>
      <c r="I599" s="76"/>
      <c r="J599" s="76"/>
      <c r="K599" s="76"/>
      <c r="L599" s="76"/>
      <c r="M599" s="76"/>
      <c r="N599" s="77"/>
      <c r="Q599" s="78"/>
    </row>
    <row r="600" ht="15" spans="1:17">
      <c r="A600" s="75"/>
      <c r="F600" s="76"/>
      <c r="G600" s="76"/>
      <c r="H600" s="76"/>
      <c r="I600" s="76"/>
      <c r="J600" s="76"/>
      <c r="K600" s="76"/>
      <c r="L600" s="76"/>
      <c r="M600" s="76"/>
      <c r="N600" s="77"/>
      <c r="Q600" s="78"/>
    </row>
    <row r="601" ht="15" spans="1:17">
      <c r="A601" s="75"/>
      <c r="F601" s="76"/>
      <c r="G601" s="76"/>
      <c r="H601" s="76"/>
      <c r="I601" s="76"/>
      <c r="J601" s="76"/>
      <c r="K601" s="76"/>
      <c r="L601" s="76"/>
      <c r="M601" s="76"/>
      <c r="N601" s="77"/>
      <c r="Q601" s="78"/>
    </row>
    <row r="602" ht="15" spans="1:17">
      <c r="A602" s="75"/>
      <c r="F602" s="76"/>
      <c r="G602" s="76"/>
      <c r="H602" s="76"/>
      <c r="I602" s="76"/>
      <c r="J602" s="76"/>
      <c r="K602" s="76"/>
      <c r="L602" s="76"/>
      <c r="M602" s="76"/>
      <c r="N602" s="77"/>
      <c r="Q602" s="78"/>
    </row>
    <row r="603" ht="15" spans="1:17">
      <c r="A603" s="75"/>
      <c r="F603" s="76"/>
      <c r="G603" s="76"/>
      <c r="H603" s="76"/>
      <c r="I603" s="76"/>
      <c r="J603" s="76"/>
      <c r="K603" s="76"/>
      <c r="L603" s="76"/>
      <c r="M603" s="76"/>
      <c r="N603" s="77"/>
      <c r="Q603" s="78"/>
    </row>
    <row r="604" ht="15" spans="1:17">
      <c r="A604" s="75"/>
      <c r="F604" s="76"/>
      <c r="G604" s="76"/>
      <c r="H604" s="76"/>
      <c r="I604" s="76"/>
      <c r="J604" s="76"/>
      <c r="K604" s="76"/>
      <c r="L604" s="76"/>
      <c r="M604" s="76"/>
      <c r="N604" s="77"/>
      <c r="Q604" s="78"/>
    </row>
    <row r="605" ht="15" spans="1:17">
      <c r="A605" s="75"/>
      <c r="F605" s="76"/>
      <c r="G605" s="76"/>
      <c r="H605" s="76"/>
      <c r="I605" s="76"/>
      <c r="J605" s="76"/>
      <c r="K605" s="76"/>
      <c r="L605" s="76"/>
      <c r="M605" s="76"/>
      <c r="N605" s="77"/>
      <c r="Q605" s="78"/>
    </row>
    <row r="606" ht="15" spans="1:17">
      <c r="A606" s="75"/>
      <c r="F606" s="76"/>
      <c r="G606" s="76"/>
      <c r="H606" s="76"/>
      <c r="I606" s="76"/>
      <c r="J606" s="76"/>
      <c r="K606" s="76"/>
      <c r="L606" s="76"/>
      <c r="M606" s="76"/>
      <c r="N606" s="77"/>
      <c r="Q606" s="78"/>
    </row>
    <row r="607" ht="15" spans="1:17">
      <c r="A607" s="75"/>
      <c r="F607" s="76"/>
      <c r="G607" s="76"/>
      <c r="H607" s="76"/>
      <c r="I607" s="76"/>
      <c r="J607" s="76"/>
      <c r="K607" s="76"/>
      <c r="L607" s="76"/>
      <c r="M607" s="76"/>
      <c r="N607" s="77"/>
      <c r="Q607" s="78"/>
    </row>
    <row r="608" ht="15" spans="1:17">
      <c r="A608" s="75"/>
      <c r="F608" s="76"/>
      <c r="G608" s="76"/>
      <c r="H608" s="76"/>
      <c r="I608" s="76"/>
      <c r="J608" s="76"/>
      <c r="K608" s="76"/>
      <c r="L608" s="76"/>
      <c r="M608" s="76"/>
      <c r="N608" s="77"/>
      <c r="Q608" s="78"/>
    </row>
    <row r="609" ht="15" spans="1:17">
      <c r="A609" s="75"/>
      <c r="F609" s="76"/>
      <c r="G609" s="76"/>
      <c r="H609" s="76"/>
      <c r="I609" s="76"/>
      <c r="J609" s="76"/>
      <c r="K609" s="76"/>
      <c r="L609" s="76"/>
      <c r="M609" s="76"/>
      <c r="N609" s="77"/>
      <c r="Q609" s="78"/>
    </row>
    <row r="610" ht="15" spans="1:17">
      <c r="A610" s="75"/>
      <c r="F610" s="76"/>
      <c r="G610" s="76"/>
      <c r="H610" s="76"/>
      <c r="I610" s="76"/>
      <c r="J610" s="76"/>
      <c r="K610" s="76"/>
      <c r="L610" s="76"/>
      <c r="M610" s="76"/>
      <c r="N610" s="77"/>
      <c r="Q610" s="78"/>
    </row>
    <row r="611" ht="15" spans="1:17">
      <c r="A611" s="75"/>
      <c r="F611" s="76"/>
      <c r="G611" s="76"/>
      <c r="H611" s="76"/>
      <c r="I611" s="76"/>
      <c r="J611" s="76"/>
      <c r="K611" s="76"/>
      <c r="L611" s="76"/>
      <c r="M611" s="76"/>
      <c r="N611" s="77"/>
      <c r="Q611" s="78"/>
    </row>
    <row r="612" ht="15" spans="1:17">
      <c r="A612" s="75"/>
      <c r="F612" s="76"/>
      <c r="G612" s="76"/>
      <c r="H612" s="76"/>
      <c r="I612" s="76"/>
      <c r="J612" s="76"/>
      <c r="K612" s="76"/>
      <c r="L612" s="76"/>
      <c r="M612" s="76"/>
      <c r="N612" s="77"/>
      <c r="Q612" s="78"/>
    </row>
    <row r="613" ht="15" spans="1:17">
      <c r="A613" s="75"/>
      <c r="F613" s="76"/>
      <c r="G613" s="76"/>
      <c r="H613" s="76"/>
      <c r="I613" s="76"/>
      <c r="J613" s="76"/>
      <c r="K613" s="76"/>
      <c r="L613" s="76"/>
      <c r="M613" s="76"/>
      <c r="N613" s="77"/>
      <c r="Q613" s="78"/>
    </row>
    <row r="614" ht="15" spans="1:17">
      <c r="A614" s="75"/>
      <c r="F614" s="76"/>
      <c r="G614" s="76"/>
      <c r="H614" s="76"/>
      <c r="I614" s="76"/>
      <c r="J614" s="76"/>
      <c r="K614" s="76"/>
      <c r="L614" s="76"/>
      <c r="M614" s="76"/>
      <c r="N614" s="77"/>
      <c r="Q614" s="78"/>
    </row>
    <row r="615" ht="15" spans="1:17">
      <c r="A615" s="75"/>
      <c r="F615" s="76"/>
      <c r="G615" s="76"/>
      <c r="H615" s="76"/>
      <c r="I615" s="76"/>
      <c r="J615" s="76"/>
      <c r="K615" s="76"/>
      <c r="L615" s="76"/>
      <c r="M615" s="76"/>
      <c r="N615" s="77"/>
      <c r="Q615" s="78"/>
    </row>
    <row r="616" ht="15" spans="1:17">
      <c r="A616" s="75"/>
      <c r="F616" s="76"/>
      <c r="G616" s="76"/>
      <c r="H616" s="76"/>
      <c r="I616" s="76"/>
      <c r="J616" s="76"/>
      <c r="K616" s="76"/>
      <c r="L616" s="76"/>
      <c r="M616" s="76"/>
      <c r="N616" s="77"/>
      <c r="Q616" s="78"/>
    </row>
    <row r="617" ht="15" spans="1:17">
      <c r="A617" s="75"/>
      <c r="F617" s="76"/>
      <c r="G617" s="76"/>
      <c r="H617" s="76"/>
      <c r="I617" s="76"/>
      <c r="J617" s="76"/>
      <c r="K617" s="76"/>
      <c r="L617" s="76"/>
      <c r="M617" s="76"/>
      <c r="N617" s="77"/>
      <c r="Q617" s="78"/>
    </row>
    <row r="618" ht="15" spans="1:17">
      <c r="A618" s="75"/>
      <c r="F618" s="76"/>
      <c r="G618" s="76"/>
      <c r="H618" s="76"/>
      <c r="I618" s="76"/>
      <c r="J618" s="76"/>
      <c r="K618" s="76"/>
      <c r="L618" s="76"/>
      <c r="M618" s="76"/>
      <c r="N618" s="77"/>
      <c r="Q618" s="78"/>
    </row>
    <row r="619" ht="15" spans="1:17">
      <c r="A619" s="75"/>
      <c r="F619" s="76"/>
      <c r="G619" s="76"/>
      <c r="H619" s="76"/>
      <c r="I619" s="76"/>
      <c r="J619" s="76"/>
      <c r="K619" s="76"/>
      <c r="L619" s="76"/>
      <c r="M619" s="76"/>
      <c r="N619" s="77"/>
      <c r="Q619" s="78"/>
    </row>
    <row r="620" ht="15" spans="1:17">
      <c r="A620" s="75"/>
      <c r="F620" s="76"/>
      <c r="G620" s="76"/>
      <c r="H620" s="76"/>
      <c r="I620" s="76"/>
      <c r="J620" s="76"/>
      <c r="K620" s="76"/>
      <c r="L620" s="76"/>
      <c r="M620" s="76"/>
      <c r="N620" s="77"/>
      <c r="Q620" s="78"/>
    </row>
    <row r="621" ht="15" spans="1:17">
      <c r="A621" s="75"/>
      <c r="F621" s="76"/>
      <c r="G621" s="76"/>
      <c r="H621" s="76"/>
      <c r="I621" s="76"/>
      <c r="J621" s="76"/>
      <c r="K621" s="76"/>
      <c r="L621" s="76"/>
      <c r="M621" s="76"/>
      <c r="N621" s="77"/>
      <c r="Q621" s="78"/>
    </row>
    <row r="622" ht="15" spans="1:17">
      <c r="A622" s="75"/>
      <c r="F622" s="76"/>
      <c r="G622" s="76"/>
      <c r="H622" s="76"/>
      <c r="I622" s="76"/>
      <c r="J622" s="76"/>
      <c r="K622" s="76"/>
      <c r="L622" s="76"/>
      <c r="M622" s="76"/>
      <c r="N622" s="77"/>
      <c r="Q622" s="78"/>
    </row>
    <row r="623" ht="15" spans="1:17">
      <c r="A623" s="75"/>
      <c r="F623" s="76"/>
      <c r="G623" s="76"/>
      <c r="H623" s="76"/>
      <c r="I623" s="76"/>
      <c r="J623" s="76"/>
      <c r="K623" s="76"/>
      <c r="L623" s="76"/>
      <c r="M623" s="76"/>
      <c r="N623" s="77"/>
      <c r="Q623" s="78"/>
    </row>
    <row r="624" ht="15" spans="1:17">
      <c r="A624" s="75"/>
      <c r="F624" s="76"/>
      <c r="G624" s="76"/>
      <c r="H624" s="76"/>
      <c r="I624" s="76"/>
      <c r="J624" s="76"/>
      <c r="K624" s="76"/>
      <c r="L624" s="76"/>
      <c r="M624" s="76"/>
      <c r="N624" s="77"/>
      <c r="Q624" s="78"/>
    </row>
    <row r="625" ht="15" spans="1:17">
      <c r="A625" s="75"/>
      <c r="F625" s="76"/>
      <c r="G625" s="76"/>
      <c r="H625" s="76"/>
      <c r="I625" s="76"/>
      <c r="J625" s="76"/>
      <c r="K625" s="76"/>
      <c r="L625" s="76"/>
      <c r="M625" s="76"/>
      <c r="N625" s="77"/>
      <c r="Q625" s="78"/>
    </row>
    <row r="626" ht="15" spans="1:17">
      <c r="A626" s="75"/>
      <c r="F626" s="76"/>
      <c r="G626" s="76"/>
      <c r="H626" s="76"/>
      <c r="I626" s="76"/>
      <c r="J626" s="76"/>
      <c r="K626" s="76"/>
      <c r="L626" s="76"/>
      <c r="M626" s="76"/>
      <c r="N626" s="77"/>
      <c r="Q626" s="78"/>
    </row>
    <row r="627" ht="15" spans="1:17">
      <c r="A627" s="75"/>
      <c r="F627" s="76"/>
      <c r="G627" s="76"/>
      <c r="H627" s="76"/>
      <c r="I627" s="76"/>
      <c r="J627" s="76"/>
      <c r="K627" s="76"/>
      <c r="L627" s="76"/>
      <c r="M627" s="76"/>
      <c r="N627" s="77"/>
      <c r="Q627" s="78"/>
    </row>
    <row r="628" ht="15" spans="1:17">
      <c r="A628" s="75"/>
      <c r="F628" s="76"/>
      <c r="G628" s="76"/>
      <c r="H628" s="76"/>
      <c r="I628" s="76"/>
      <c r="J628" s="76"/>
      <c r="K628" s="76"/>
      <c r="L628" s="76"/>
      <c r="M628" s="76"/>
      <c r="N628" s="77"/>
      <c r="Q628" s="78"/>
    </row>
    <row r="629" ht="15" spans="1:17">
      <c r="A629" s="75"/>
      <c r="F629" s="76"/>
      <c r="G629" s="76"/>
      <c r="H629" s="76"/>
      <c r="I629" s="76"/>
      <c r="J629" s="76"/>
      <c r="K629" s="76"/>
      <c r="L629" s="76"/>
      <c r="M629" s="76"/>
      <c r="N629" s="77"/>
      <c r="Q629" s="78"/>
    </row>
    <row r="630" ht="15" spans="1:17">
      <c r="A630" s="75"/>
      <c r="F630" s="76"/>
      <c r="G630" s="76"/>
      <c r="H630" s="76"/>
      <c r="I630" s="76"/>
      <c r="J630" s="76"/>
      <c r="K630" s="76"/>
      <c r="L630" s="76"/>
      <c r="M630" s="76"/>
      <c r="N630" s="77"/>
      <c r="Q630" s="78"/>
    </row>
    <row r="631" ht="15" spans="1:17">
      <c r="A631" s="75"/>
      <c r="F631" s="76"/>
      <c r="G631" s="76"/>
      <c r="H631" s="76"/>
      <c r="I631" s="76"/>
      <c r="J631" s="76"/>
      <c r="K631" s="76"/>
      <c r="L631" s="76"/>
      <c r="M631" s="76"/>
      <c r="N631" s="77"/>
      <c r="Q631" s="78"/>
    </row>
    <row r="632" ht="15" spans="1:17">
      <c r="A632" s="75"/>
      <c r="F632" s="76"/>
      <c r="G632" s="76"/>
      <c r="H632" s="76"/>
      <c r="I632" s="76"/>
      <c r="J632" s="76"/>
      <c r="K632" s="76"/>
      <c r="L632" s="76"/>
      <c r="M632" s="76"/>
      <c r="N632" s="77"/>
      <c r="Q632" s="78"/>
    </row>
    <row r="633" ht="15" spans="1:17">
      <c r="A633" s="75"/>
      <c r="F633" s="76"/>
      <c r="G633" s="76"/>
      <c r="H633" s="76"/>
      <c r="I633" s="76"/>
      <c r="J633" s="76"/>
      <c r="K633" s="76"/>
      <c r="L633" s="76"/>
      <c r="M633" s="76"/>
      <c r="N633" s="77"/>
      <c r="Q633" s="78"/>
    </row>
    <row r="634" ht="15" spans="1:17">
      <c r="A634" s="75"/>
      <c r="F634" s="76"/>
      <c r="G634" s="76"/>
      <c r="H634" s="76"/>
      <c r="I634" s="76"/>
      <c r="J634" s="76"/>
      <c r="K634" s="76"/>
      <c r="L634" s="76"/>
      <c r="M634" s="76"/>
      <c r="N634" s="77"/>
      <c r="Q634" s="78"/>
    </row>
    <row r="635" ht="15" spans="1:17">
      <c r="A635" s="75"/>
      <c r="F635" s="76"/>
      <c r="G635" s="76"/>
      <c r="H635" s="76"/>
      <c r="I635" s="76"/>
      <c r="J635" s="76"/>
      <c r="K635" s="76"/>
      <c r="L635" s="76"/>
      <c r="M635" s="76"/>
      <c r="N635" s="77"/>
      <c r="Q635" s="78"/>
    </row>
    <row r="636" ht="15" spans="1:17">
      <c r="A636" s="75"/>
      <c r="F636" s="76"/>
      <c r="G636" s="76"/>
      <c r="H636" s="76"/>
      <c r="I636" s="76"/>
      <c r="J636" s="76"/>
      <c r="K636" s="76"/>
      <c r="L636" s="76"/>
      <c r="M636" s="76"/>
      <c r="N636" s="77"/>
      <c r="Q636" s="78"/>
    </row>
    <row r="637" ht="15" spans="1:17">
      <c r="A637" s="75"/>
      <c r="F637" s="76"/>
      <c r="G637" s="76"/>
      <c r="H637" s="76"/>
      <c r="I637" s="76"/>
      <c r="J637" s="76"/>
      <c r="K637" s="76"/>
      <c r="L637" s="76"/>
      <c r="M637" s="76"/>
      <c r="N637" s="77"/>
      <c r="Q637" s="78"/>
    </row>
    <row r="638" ht="15" spans="1:17">
      <c r="A638" s="75"/>
      <c r="F638" s="76"/>
      <c r="G638" s="76"/>
      <c r="H638" s="76"/>
      <c r="I638" s="76"/>
      <c r="J638" s="76"/>
      <c r="K638" s="76"/>
      <c r="L638" s="76"/>
      <c r="M638" s="76"/>
      <c r="N638" s="77"/>
      <c r="Q638" s="78"/>
    </row>
    <row r="639" ht="15" spans="1:17">
      <c r="A639" s="75"/>
      <c r="F639" s="76"/>
      <c r="G639" s="76"/>
      <c r="H639" s="76"/>
      <c r="I639" s="76"/>
      <c r="J639" s="76"/>
      <c r="K639" s="76"/>
      <c r="L639" s="76"/>
      <c r="M639" s="76"/>
      <c r="N639" s="77"/>
      <c r="Q639" s="78"/>
    </row>
    <row r="640" ht="15" spans="1:17">
      <c r="A640" s="75"/>
      <c r="F640" s="76"/>
      <c r="G640" s="76"/>
      <c r="H640" s="76"/>
      <c r="I640" s="76"/>
      <c r="J640" s="76"/>
      <c r="K640" s="76"/>
      <c r="L640" s="76"/>
      <c r="M640" s="76"/>
      <c r="N640" s="77"/>
      <c r="Q640" s="78"/>
    </row>
    <row r="641" ht="15" spans="1:17">
      <c r="A641" s="75"/>
      <c r="F641" s="76"/>
      <c r="G641" s="76"/>
      <c r="H641" s="76"/>
      <c r="I641" s="76"/>
      <c r="J641" s="76"/>
      <c r="K641" s="76"/>
      <c r="L641" s="76"/>
      <c r="M641" s="76"/>
      <c r="N641" s="77"/>
      <c r="Q641" s="78"/>
    </row>
    <row r="642" ht="15" spans="1:17">
      <c r="A642" s="75"/>
      <c r="F642" s="76"/>
      <c r="G642" s="76"/>
      <c r="H642" s="76"/>
      <c r="I642" s="76"/>
      <c r="J642" s="76"/>
      <c r="K642" s="76"/>
      <c r="L642" s="76"/>
      <c r="M642" s="76"/>
      <c r="N642" s="77"/>
      <c r="Q642" s="78"/>
    </row>
    <row r="643" ht="15" spans="1:17">
      <c r="A643" s="75"/>
      <c r="F643" s="76"/>
      <c r="G643" s="76"/>
      <c r="H643" s="76"/>
      <c r="I643" s="76"/>
      <c r="J643" s="76"/>
      <c r="K643" s="76"/>
      <c r="L643" s="76"/>
      <c r="M643" s="76"/>
      <c r="N643" s="77"/>
      <c r="Q643" s="78"/>
    </row>
    <row r="644" ht="15" spans="1:17">
      <c r="A644" s="75"/>
      <c r="F644" s="76"/>
      <c r="G644" s="76"/>
      <c r="H644" s="76"/>
      <c r="I644" s="76"/>
      <c r="J644" s="76"/>
      <c r="K644" s="76"/>
      <c r="L644" s="76"/>
      <c r="M644" s="76"/>
      <c r="N644" s="77"/>
      <c r="Q644" s="78"/>
    </row>
    <row r="645" ht="15" spans="1:17">
      <c r="A645" s="75"/>
      <c r="F645" s="76"/>
      <c r="G645" s="76"/>
      <c r="H645" s="76"/>
      <c r="I645" s="76"/>
      <c r="J645" s="76"/>
      <c r="K645" s="76"/>
      <c r="L645" s="76"/>
      <c r="M645" s="76"/>
      <c r="N645" s="77"/>
      <c r="Q645" s="78"/>
    </row>
    <row r="646" ht="15" spans="1:17">
      <c r="A646" s="75"/>
      <c r="F646" s="76"/>
      <c r="G646" s="76"/>
      <c r="H646" s="76"/>
      <c r="I646" s="76"/>
      <c r="J646" s="76"/>
      <c r="K646" s="76"/>
      <c r="L646" s="76"/>
      <c r="M646" s="76"/>
      <c r="N646" s="77"/>
      <c r="Q646" s="78"/>
    </row>
    <row r="647" ht="15" spans="1:17">
      <c r="A647" s="75"/>
      <c r="F647" s="76"/>
      <c r="G647" s="76"/>
      <c r="H647" s="76"/>
      <c r="I647" s="76"/>
      <c r="J647" s="76"/>
      <c r="K647" s="76"/>
      <c r="L647" s="76"/>
      <c r="M647" s="76"/>
      <c r="N647" s="77"/>
      <c r="Q647" s="78"/>
    </row>
    <row r="648" ht="15" spans="1:17">
      <c r="A648" s="75"/>
      <c r="F648" s="76"/>
      <c r="G648" s="76"/>
      <c r="H648" s="76"/>
      <c r="I648" s="76"/>
      <c r="J648" s="76"/>
      <c r="K648" s="76"/>
      <c r="L648" s="76"/>
      <c r="M648" s="76"/>
      <c r="N648" s="77"/>
      <c r="Q648" s="78"/>
    </row>
    <row r="649" ht="15" spans="1:17">
      <c r="A649" s="75"/>
      <c r="F649" s="76"/>
      <c r="G649" s="76"/>
      <c r="H649" s="76"/>
      <c r="I649" s="76"/>
      <c r="J649" s="76"/>
      <c r="K649" s="76"/>
      <c r="L649" s="76"/>
      <c r="M649" s="76"/>
      <c r="N649" s="77"/>
      <c r="Q649" s="78"/>
    </row>
    <row r="650" ht="15" spans="1:17">
      <c r="A650" s="75"/>
      <c r="F650" s="76"/>
      <c r="G650" s="76"/>
      <c r="H650" s="76"/>
      <c r="I650" s="76"/>
      <c r="J650" s="76"/>
      <c r="K650" s="76"/>
      <c r="L650" s="76"/>
      <c r="M650" s="76"/>
      <c r="N650" s="77"/>
      <c r="Q650" s="78"/>
    </row>
    <row r="651" ht="15" spans="1:17">
      <c r="A651" s="75"/>
      <c r="F651" s="76"/>
      <c r="G651" s="76"/>
      <c r="H651" s="76"/>
      <c r="I651" s="76"/>
      <c r="J651" s="76"/>
      <c r="K651" s="76"/>
      <c r="L651" s="76"/>
      <c r="M651" s="76"/>
      <c r="N651" s="77"/>
      <c r="Q651" s="78"/>
    </row>
    <row r="652" ht="15" spans="1:17">
      <c r="A652" s="75"/>
      <c r="F652" s="76"/>
      <c r="G652" s="76"/>
      <c r="H652" s="76"/>
      <c r="I652" s="76"/>
      <c r="J652" s="76"/>
      <c r="K652" s="76"/>
      <c r="L652" s="76"/>
      <c r="M652" s="76"/>
      <c r="N652" s="77"/>
      <c r="Q652" s="78"/>
    </row>
    <row r="653" ht="15" spans="1:17">
      <c r="A653" s="75"/>
      <c r="F653" s="76"/>
      <c r="G653" s="76"/>
      <c r="H653" s="76"/>
      <c r="I653" s="76"/>
      <c r="J653" s="76"/>
      <c r="K653" s="76"/>
      <c r="L653" s="76"/>
      <c r="M653" s="76"/>
      <c r="N653" s="77"/>
      <c r="Q653" s="78"/>
    </row>
    <row r="654" ht="15" spans="1:17">
      <c r="A654" s="75"/>
      <c r="F654" s="76"/>
      <c r="G654" s="76"/>
      <c r="H654" s="76"/>
      <c r="I654" s="76"/>
      <c r="J654" s="76"/>
      <c r="K654" s="76"/>
      <c r="L654" s="76"/>
      <c r="M654" s="76"/>
      <c r="N654" s="77"/>
      <c r="Q654" s="78"/>
    </row>
    <row r="655" ht="15" spans="1:17">
      <c r="A655" s="75"/>
      <c r="F655" s="76"/>
      <c r="G655" s="76"/>
      <c r="H655" s="76"/>
      <c r="I655" s="76"/>
      <c r="J655" s="76"/>
      <c r="K655" s="76"/>
      <c r="L655" s="76"/>
      <c r="M655" s="76"/>
      <c r="N655" s="77"/>
      <c r="Q655" s="78"/>
    </row>
    <row r="656" ht="15" spans="1:17">
      <c r="A656" s="75"/>
      <c r="F656" s="76"/>
      <c r="G656" s="76"/>
      <c r="H656" s="76"/>
      <c r="I656" s="76"/>
      <c r="J656" s="76"/>
      <c r="K656" s="76"/>
      <c r="L656" s="76"/>
      <c r="M656" s="76"/>
      <c r="N656" s="77"/>
      <c r="Q656" s="78"/>
    </row>
    <row r="657" ht="15" spans="1:17">
      <c r="A657" s="75"/>
      <c r="F657" s="76"/>
      <c r="G657" s="76"/>
      <c r="H657" s="76"/>
      <c r="I657" s="76"/>
      <c r="J657" s="76"/>
      <c r="K657" s="76"/>
      <c r="L657" s="76"/>
      <c r="M657" s="76"/>
      <c r="N657" s="77"/>
      <c r="Q657" s="78"/>
    </row>
    <row r="658" ht="15" spans="1:17">
      <c r="A658" s="75"/>
      <c r="F658" s="76"/>
      <c r="G658" s="76"/>
      <c r="H658" s="76"/>
      <c r="I658" s="76"/>
      <c r="J658" s="76"/>
      <c r="K658" s="76"/>
      <c r="L658" s="76"/>
      <c r="M658" s="76"/>
      <c r="N658" s="77"/>
      <c r="Q658" s="78"/>
    </row>
    <row r="659" ht="15" spans="1:17">
      <c r="A659" s="75"/>
      <c r="F659" s="76"/>
      <c r="G659" s="76"/>
      <c r="H659" s="76"/>
      <c r="I659" s="76"/>
      <c r="J659" s="76"/>
      <c r="K659" s="76"/>
      <c r="L659" s="76"/>
      <c r="M659" s="76"/>
      <c r="N659" s="77"/>
      <c r="Q659" s="78"/>
    </row>
    <row r="660" ht="15" spans="1:17">
      <c r="A660" s="75"/>
      <c r="F660" s="76"/>
      <c r="G660" s="76"/>
      <c r="H660" s="76"/>
      <c r="I660" s="76"/>
      <c r="J660" s="76"/>
      <c r="K660" s="76"/>
      <c r="L660" s="76"/>
      <c r="M660" s="76"/>
      <c r="N660" s="77"/>
      <c r="Q660" s="78"/>
    </row>
    <row r="661" ht="15" spans="1:17">
      <c r="A661" s="75"/>
      <c r="F661" s="76"/>
      <c r="G661" s="76"/>
      <c r="H661" s="76"/>
      <c r="I661" s="76"/>
      <c r="J661" s="76"/>
      <c r="K661" s="76"/>
      <c r="L661" s="76"/>
      <c r="M661" s="76"/>
      <c r="N661" s="77"/>
      <c r="Q661" s="78"/>
    </row>
    <row r="662" ht="15" spans="1:17">
      <c r="A662" s="75"/>
      <c r="F662" s="76"/>
      <c r="G662" s="76"/>
      <c r="H662" s="76"/>
      <c r="I662" s="76"/>
      <c r="J662" s="76"/>
      <c r="K662" s="76"/>
      <c r="L662" s="76"/>
      <c r="M662" s="76"/>
      <c r="N662" s="77"/>
      <c r="Q662" s="78"/>
    </row>
    <row r="663" ht="15" spans="1:17">
      <c r="A663" s="75"/>
      <c r="F663" s="76"/>
      <c r="G663" s="76"/>
      <c r="H663" s="76"/>
      <c r="I663" s="76"/>
      <c r="J663" s="76"/>
      <c r="K663" s="76"/>
      <c r="L663" s="76"/>
      <c r="M663" s="76"/>
      <c r="N663" s="77"/>
      <c r="Q663" s="78"/>
    </row>
    <row r="664" ht="15" spans="1:17">
      <c r="A664" s="75"/>
      <c r="F664" s="76"/>
      <c r="G664" s="76"/>
      <c r="H664" s="76"/>
      <c r="I664" s="76"/>
      <c r="J664" s="76"/>
      <c r="K664" s="76"/>
      <c r="L664" s="76"/>
      <c r="M664" s="76"/>
      <c r="N664" s="77"/>
      <c r="Q664" s="78"/>
    </row>
    <row r="665" ht="15" spans="1:17">
      <c r="A665" s="75"/>
      <c r="F665" s="76"/>
      <c r="G665" s="76"/>
      <c r="H665" s="76"/>
      <c r="I665" s="76"/>
      <c r="J665" s="76"/>
      <c r="K665" s="76"/>
      <c r="L665" s="76"/>
      <c r="M665" s="76"/>
      <c r="N665" s="77"/>
      <c r="Q665" s="78"/>
    </row>
    <row r="666" ht="15" spans="1:17">
      <c r="A666" s="75"/>
      <c r="F666" s="76"/>
      <c r="G666" s="76"/>
      <c r="H666" s="76"/>
      <c r="I666" s="76"/>
      <c r="J666" s="76"/>
      <c r="K666" s="76"/>
      <c r="L666" s="76"/>
      <c r="M666" s="76"/>
      <c r="N666" s="77"/>
      <c r="Q666" s="78"/>
    </row>
    <row r="667" ht="15" spans="1:17">
      <c r="A667" s="75"/>
      <c r="F667" s="76"/>
      <c r="G667" s="76"/>
      <c r="H667" s="76"/>
      <c r="I667" s="76"/>
      <c r="J667" s="76"/>
      <c r="K667" s="76"/>
      <c r="L667" s="76"/>
      <c r="M667" s="76"/>
      <c r="N667" s="77"/>
      <c r="Q667" s="78"/>
    </row>
    <row r="668" ht="15" spans="1:17">
      <c r="A668" s="75"/>
      <c r="F668" s="76"/>
      <c r="G668" s="76"/>
      <c r="H668" s="76"/>
      <c r="I668" s="76"/>
      <c r="J668" s="76"/>
      <c r="K668" s="76"/>
      <c r="L668" s="76"/>
      <c r="M668" s="76"/>
      <c r="N668" s="77"/>
      <c r="Q668" s="78"/>
    </row>
    <row r="669" ht="15" spans="1:17">
      <c r="A669" s="75"/>
      <c r="F669" s="76"/>
      <c r="G669" s="76"/>
      <c r="H669" s="76"/>
      <c r="I669" s="76"/>
      <c r="J669" s="76"/>
      <c r="K669" s="76"/>
      <c r="L669" s="76"/>
      <c r="M669" s="76"/>
      <c r="N669" s="77"/>
      <c r="Q669" s="78"/>
    </row>
    <row r="670" ht="15" spans="1:17">
      <c r="A670" s="75"/>
      <c r="F670" s="76"/>
      <c r="G670" s="76"/>
      <c r="H670" s="76"/>
      <c r="I670" s="76"/>
      <c r="J670" s="76"/>
      <c r="K670" s="76"/>
      <c r="L670" s="76"/>
      <c r="M670" s="76"/>
      <c r="N670" s="77"/>
      <c r="Q670" s="78"/>
    </row>
    <row r="671" ht="15" spans="1:17">
      <c r="A671" s="75"/>
      <c r="F671" s="76"/>
      <c r="G671" s="76"/>
      <c r="H671" s="76"/>
      <c r="I671" s="76"/>
      <c r="J671" s="76"/>
      <c r="K671" s="76"/>
      <c r="L671" s="76"/>
      <c r="M671" s="76"/>
      <c r="N671" s="77"/>
      <c r="Q671" s="78"/>
    </row>
    <row r="672" ht="15" spans="1:17">
      <c r="A672" s="75"/>
      <c r="F672" s="76"/>
      <c r="G672" s="76"/>
      <c r="H672" s="76"/>
      <c r="I672" s="76"/>
      <c r="J672" s="76"/>
      <c r="K672" s="76"/>
      <c r="L672" s="76"/>
      <c r="M672" s="76"/>
      <c r="N672" s="77"/>
      <c r="Q672" s="78"/>
    </row>
    <row r="673" ht="15" spans="1:17">
      <c r="A673" s="75"/>
      <c r="F673" s="76"/>
      <c r="G673" s="76"/>
      <c r="H673" s="76"/>
      <c r="I673" s="76"/>
      <c r="J673" s="76"/>
      <c r="K673" s="76"/>
      <c r="L673" s="76"/>
      <c r="M673" s="76"/>
      <c r="N673" s="77"/>
      <c r="Q673" s="78"/>
    </row>
    <row r="674" ht="15" spans="1:17">
      <c r="A674" s="75"/>
      <c r="F674" s="76"/>
      <c r="G674" s="76"/>
      <c r="H674" s="76"/>
      <c r="I674" s="76"/>
      <c r="J674" s="76"/>
      <c r="K674" s="76"/>
      <c r="L674" s="76"/>
      <c r="M674" s="76"/>
      <c r="N674" s="77"/>
      <c r="Q674" s="78"/>
    </row>
    <row r="675" ht="15" spans="1:17">
      <c r="A675" s="75"/>
      <c r="F675" s="76"/>
      <c r="G675" s="76"/>
      <c r="H675" s="76"/>
      <c r="I675" s="76"/>
      <c r="J675" s="76"/>
      <c r="K675" s="76"/>
      <c r="L675" s="76"/>
      <c r="M675" s="76"/>
      <c r="N675" s="77"/>
      <c r="Q675" s="78"/>
    </row>
    <row r="676" ht="15" spans="1:17">
      <c r="A676" s="75"/>
      <c r="F676" s="76"/>
      <c r="G676" s="76"/>
      <c r="H676" s="76"/>
      <c r="I676" s="76"/>
      <c r="J676" s="76"/>
      <c r="K676" s="76"/>
      <c r="L676" s="76"/>
      <c r="M676" s="76"/>
      <c r="N676" s="77"/>
      <c r="Q676" s="78"/>
    </row>
    <row r="677" ht="15" spans="1:17">
      <c r="A677" s="75"/>
      <c r="F677" s="76"/>
      <c r="G677" s="76"/>
      <c r="H677" s="76"/>
      <c r="I677" s="76"/>
      <c r="J677" s="76"/>
      <c r="K677" s="76"/>
      <c r="L677" s="76"/>
      <c r="M677" s="76"/>
      <c r="N677" s="77"/>
      <c r="Q677" s="78"/>
    </row>
    <row r="678" ht="15" spans="1:17">
      <c r="A678" s="75"/>
      <c r="F678" s="76"/>
      <c r="G678" s="76"/>
      <c r="H678" s="76"/>
      <c r="I678" s="76"/>
      <c r="J678" s="76"/>
      <c r="K678" s="76"/>
      <c r="L678" s="76"/>
      <c r="M678" s="76"/>
      <c r="N678" s="77"/>
      <c r="Q678" s="78"/>
    </row>
    <row r="679" ht="15" spans="1:17">
      <c r="A679" s="75"/>
      <c r="F679" s="76"/>
      <c r="G679" s="76"/>
      <c r="H679" s="76"/>
      <c r="I679" s="76"/>
      <c r="J679" s="76"/>
      <c r="K679" s="76"/>
      <c r="L679" s="76"/>
      <c r="M679" s="76"/>
      <c r="N679" s="77"/>
      <c r="Q679" s="78"/>
    </row>
    <row r="680" ht="15" spans="1:17">
      <c r="A680" s="75"/>
      <c r="F680" s="76"/>
      <c r="G680" s="76"/>
      <c r="H680" s="76"/>
      <c r="I680" s="76"/>
      <c r="J680" s="76"/>
      <c r="K680" s="76"/>
      <c r="L680" s="76"/>
      <c r="M680" s="76"/>
      <c r="N680" s="77"/>
      <c r="Q680" s="78"/>
    </row>
    <row r="681" ht="15" spans="1:17">
      <c r="A681" s="75"/>
      <c r="F681" s="76"/>
      <c r="G681" s="76"/>
      <c r="H681" s="76"/>
      <c r="I681" s="76"/>
      <c r="J681" s="76"/>
      <c r="K681" s="76"/>
      <c r="L681" s="76"/>
      <c r="M681" s="76"/>
      <c r="N681" s="77"/>
      <c r="Q681" s="78"/>
    </row>
    <row r="682" ht="15" spans="1:17">
      <c r="A682" s="75"/>
      <c r="F682" s="76"/>
      <c r="G682" s="76"/>
      <c r="H682" s="76"/>
      <c r="I682" s="76"/>
      <c r="J682" s="76"/>
      <c r="K682" s="76"/>
      <c r="L682" s="76"/>
      <c r="M682" s="76"/>
      <c r="N682" s="77"/>
      <c r="Q682" s="78"/>
    </row>
    <row r="683" ht="15" spans="1:17">
      <c r="A683" s="75"/>
      <c r="F683" s="76"/>
      <c r="G683" s="76"/>
      <c r="H683" s="76"/>
      <c r="I683" s="76"/>
      <c r="J683" s="76"/>
      <c r="K683" s="76"/>
      <c r="L683" s="76"/>
      <c r="M683" s="76"/>
      <c r="N683" s="77"/>
      <c r="Q683" s="78"/>
    </row>
    <row r="684" ht="15" spans="1:17">
      <c r="A684" s="75"/>
      <c r="F684" s="76"/>
      <c r="G684" s="76"/>
      <c r="H684" s="76"/>
      <c r="I684" s="76"/>
      <c r="J684" s="76"/>
      <c r="K684" s="76"/>
      <c r="L684" s="76"/>
      <c r="M684" s="76"/>
      <c r="N684" s="77"/>
      <c r="Q684" s="78"/>
    </row>
    <row r="685" ht="15" spans="1:17">
      <c r="A685" s="75"/>
      <c r="F685" s="76"/>
      <c r="G685" s="76"/>
      <c r="H685" s="76"/>
      <c r="I685" s="76"/>
      <c r="J685" s="76"/>
      <c r="K685" s="76"/>
      <c r="L685" s="76"/>
      <c r="M685" s="76"/>
      <c r="N685" s="77"/>
      <c r="Q685" s="78"/>
    </row>
    <row r="686" ht="15" spans="1:17">
      <c r="A686" s="75"/>
      <c r="F686" s="76"/>
      <c r="G686" s="76"/>
      <c r="H686" s="76"/>
      <c r="I686" s="76"/>
      <c r="J686" s="76"/>
      <c r="K686" s="76"/>
      <c r="L686" s="76"/>
      <c r="M686" s="76"/>
      <c r="N686" s="77"/>
      <c r="Q686" s="78"/>
    </row>
    <row r="687" ht="15" spans="1:17">
      <c r="A687" s="75"/>
      <c r="F687" s="76"/>
      <c r="G687" s="76"/>
      <c r="H687" s="76"/>
      <c r="I687" s="76"/>
      <c r="J687" s="76"/>
      <c r="K687" s="76"/>
      <c r="L687" s="76"/>
      <c r="M687" s="76"/>
      <c r="N687" s="77"/>
      <c r="Q687" s="78"/>
    </row>
    <row r="688" ht="15" spans="1:17">
      <c r="A688" s="75"/>
      <c r="F688" s="76"/>
      <c r="G688" s="76"/>
      <c r="H688" s="76"/>
      <c r="I688" s="76"/>
      <c r="J688" s="76"/>
      <c r="K688" s="76"/>
      <c r="L688" s="76"/>
      <c r="M688" s="76"/>
      <c r="N688" s="77"/>
      <c r="Q688" s="78"/>
    </row>
    <row r="689" ht="15" spans="1:17">
      <c r="A689" s="75"/>
      <c r="F689" s="76"/>
      <c r="G689" s="76"/>
      <c r="H689" s="76"/>
      <c r="I689" s="76"/>
      <c r="J689" s="76"/>
      <c r="K689" s="76"/>
      <c r="L689" s="76"/>
      <c r="M689" s="76"/>
      <c r="N689" s="77"/>
      <c r="Q689" s="78"/>
    </row>
    <row r="690" ht="15" spans="1:17">
      <c r="A690" s="75"/>
      <c r="F690" s="76"/>
      <c r="G690" s="76"/>
      <c r="H690" s="76"/>
      <c r="I690" s="76"/>
      <c r="J690" s="76"/>
      <c r="K690" s="76"/>
      <c r="L690" s="76"/>
      <c r="M690" s="76"/>
      <c r="N690" s="77"/>
      <c r="Q690" s="78"/>
    </row>
    <row r="691" ht="15" spans="1:17">
      <c r="A691" s="75"/>
      <c r="F691" s="76"/>
      <c r="G691" s="76"/>
      <c r="H691" s="76"/>
      <c r="I691" s="76"/>
      <c r="J691" s="76"/>
      <c r="K691" s="76"/>
      <c r="L691" s="76"/>
      <c r="M691" s="76"/>
      <c r="N691" s="77"/>
      <c r="Q691" s="78"/>
    </row>
    <row r="692" ht="15" spans="1:17">
      <c r="A692" s="75"/>
      <c r="F692" s="76"/>
      <c r="G692" s="76"/>
      <c r="H692" s="76"/>
      <c r="I692" s="76"/>
      <c r="J692" s="76"/>
      <c r="K692" s="76"/>
      <c r="L692" s="76"/>
      <c r="M692" s="76"/>
      <c r="N692" s="77"/>
      <c r="Q692" s="78"/>
    </row>
    <row r="693" ht="15" spans="1:17">
      <c r="A693" s="75"/>
      <c r="F693" s="76"/>
      <c r="G693" s="76"/>
      <c r="H693" s="76"/>
      <c r="I693" s="76"/>
      <c r="J693" s="76"/>
      <c r="K693" s="76"/>
      <c r="L693" s="76"/>
      <c r="M693" s="76"/>
      <c r="N693" s="77"/>
      <c r="Q693" s="78"/>
    </row>
    <row r="694" ht="15" spans="1:17">
      <c r="A694" s="75"/>
      <c r="F694" s="76"/>
      <c r="G694" s="76"/>
      <c r="H694" s="76"/>
      <c r="I694" s="76"/>
      <c r="J694" s="76"/>
      <c r="K694" s="76"/>
      <c r="L694" s="76"/>
      <c r="M694" s="76"/>
      <c r="N694" s="77"/>
      <c r="Q694" s="78"/>
    </row>
    <row r="695" ht="15" spans="1:17">
      <c r="A695" s="75"/>
      <c r="F695" s="76"/>
      <c r="G695" s="76"/>
      <c r="H695" s="76"/>
      <c r="I695" s="76"/>
      <c r="J695" s="76"/>
      <c r="K695" s="76"/>
      <c r="L695" s="76"/>
      <c r="M695" s="76"/>
      <c r="N695" s="77"/>
      <c r="Q695" s="78"/>
    </row>
    <row r="696" ht="15" spans="1:17">
      <c r="A696" s="75"/>
      <c r="F696" s="76"/>
      <c r="G696" s="76"/>
      <c r="H696" s="76"/>
      <c r="I696" s="76"/>
      <c r="J696" s="76"/>
      <c r="K696" s="76"/>
      <c r="L696" s="76"/>
      <c r="M696" s="76"/>
      <c r="N696" s="77"/>
      <c r="Q696" s="78"/>
    </row>
    <row r="697" ht="15" spans="1:17">
      <c r="A697" s="75"/>
      <c r="F697" s="76"/>
      <c r="G697" s="76"/>
      <c r="H697" s="76"/>
      <c r="I697" s="76"/>
      <c r="J697" s="76"/>
      <c r="K697" s="76"/>
      <c r="L697" s="76"/>
      <c r="M697" s="76"/>
      <c r="N697" s="77"/>
      <c r="Q697" s="78"/>
    </row>
    <row r="698" ht="15" spans="1:17">
      <c r="A698" s="75"/>
      <c r="F698" s="76"/>
      <c r="G698" s="76"/>
      <c r="H698" s="76"/>
      <c r="I698" s="76"/>
      <c r="J698" s="76"/>
      <c r="K698" s="76"/>
      <c r="L698" s="76"/>
      <c r="M698" s="76"/>
      <c r="N698" s="77"/>
      <c r="Q698" s="78"/>
    </row>
    <row r="699" ht="15" spans="1:17">
      <c r="A699" s="75"/>
      <c r="F699" s="76"/>
      <c r="G699" s="76"/>
      <c r="H699" s="76"/>
      <c r="I699" s="76"/>
      <c r="J699" s="76"/>
      <c r="K699" s="76"/>
      <c r="L699" s="76"/>
      <c r="M699" s="76"/>
      <c r="N699" s="77"/>
      <c r="Q699" s="78"/>
    </row>
    <row r="700" ht="15" spans="1:17">
      <c r="A700" s="75"/>
      <c r="F700" s="76"/>
      <c r="G700" s="76"/>
      <c r="H700" s="76"/>
      <c r="I700" s="76"/>
      <c r="J700" s="76"/>
      <c r="K700" s="76"/>
      <c r="L700" s="76"/>
      <c r="M700" s="76"/>
      <c r="N700" s="77"/>
      <c r="Q700" s="78"/>
    </row>
    <row r="701" ht="15" spans="1:17">
      <c r="A701" s="75"/>
      <c r="F701" s="76"/>
      <c r="G701" s="76"/>
      <c r="H701" s="76"/>
      <c r="I701" s="76"/>
      <c r="J701" s="76"/>
      <c r="K701" s="76"/>
      <c r="L701" s="76"/>
      <c r="M701" s="76"/>
      <c r="N701" s="77"/>
      <c r="Q701" s="78"/>
    </row>
    <row r="702" ht="15" spans="1:17">
      <c r="A702" s="75"/>
      <c r="F702" s="76"/>
      <c r="G702" s="76"/>
      <c r="H702" s="76"/>
      <c r="I702" s="76"/>
      <c r="J702" s="76"/>
      <c r="K702" s="76"/>
      <c r="L702" s="76"/>
      <c r="M702" s="76"/>
      <c r="N702" s="77"/>
      <c r="Q702" s="78"/>
    </row>
    <row r="703" ht="15" spans="1:17">
      <c r="A703" s="75"/>
      <c r="F703" s="76"/>
      <c r="G703" s="76"/>
      <c r="H703" s="76"/>
      <c r="I703" s="76"/>
      <c r="J703" s="76"/>
      <c r="K703" s="76"/>
      <c r="L703" s="76"/>
      <c r="M703" s="76"/>
      <c r="N703" s="77"/>
      <c r="Q703" s="78"/>
    </row>
    <row r="704" ht="15" spans="1:17">
      <c r="A704" s="75"/>
      <c r="F704" s="76"/>
      <c r="G704" s="76"/>
      <c r="H704" s="76"/>
      <c r="I704" s="76"/>
      <c r="J704" s="76"/>
      <c r="K704" s="76"/>
      <c r="L704" s="76"/>
      <c r="M704" s="76"/>
      <c r="N704" s="77"/>
      <c r="Q704" s="78"/>
    </row>
    <row r="705" ht="15" spans="1:17">
      <c r="A705" s="75"/>
      <c r="F705" s="76"/>
      <c r="G705" s="76"/>
      <c r="H705" s="76"/>
      <c r="I705" s="76"/>
      <c r="J705" s="76"/>
      <c r="K705" s="76"/>
      <c r="L705" s="76"/>
      <c r="M705" s="76"/>
      <c r="N705" s="77"/>
      <c r="Q705" s="78"/>
    </row>
    <row r="706" ht="15" spans="1:17">
      <c r="A706" s="75"/>
      <c r="F706" s="76"/>
      <c r="G706" s="76"/>
      <c r="H706" s="76"/>
      <c r="I706" s="76"/>
      <c r="J706" s="76"/>
      <c r="K706" s="76"/>
      <c r="L706" s="76"/>
      <c r="M706" s="76"/>
      <c r="N706" s="77"/>
      <c r="Q706" s="78"/>
    </row>
    <row r="707" ht="15" spans="1:17">
      <c r="A707" s="75"/>
      <c r="F707" s="76"/>
      <c r="G707" s="76"/>
      <c r="H707" s="76"/>
      <c r="I707" s="76"/>
      <c r="J707" s="76"/>
      <c r="K707" s="76"/>
      <c r="L707" s="76"/>
      <c r="M707" s="76"/>
      <c r="N707" s="77"/>
      <c r="Q707" s="78"/>
    </row>
    <row r="708" ht="15" spans="1:17">
      <c r="A708" s="75"/>
      <c r="F708" s="76"/>
      <c r="G708" s="76"/>
      <c r="H708" s="76"/>
      <c r="I708" s="76"/>
      <c r="J708" s="76"/>
      <c r="K708" s="76"/>
      <c r="L708" s="76"/>
      <c r="M708" s="76"/>
      <c r="N708" s="77"/>
      <c r="Q708" s="78"/>
    </row>
    <row r="709" ht="15" spans="1:17">
      <c r="A709" s="75"/>
      <c r="F709" s="76"/>
      <c r="G709" s="76"/>
      <c r="H709" s="76"/>
      <c r="I709" s="76"/>
      <c r="J709" s="76"/>
      <c r="K709" s="76"/>
      <c r="L709" s="76"/>
      <c r="M709" s="76"/>
      <c r="N709" s="77"/>
      <c r="Q709" s="78"/>
    </row>
    <row r="710" ht="15" spans="1:17">
      <c r="A710" s="75"/>
      <c r="F710" s="76"/>
      <c r="G710" s="76"/>
      <c r="H710" s="76"/>
      <c r="I710" s="76"/>
      <c r="J710" s="76"/>
      <c r="K710" s="76"/>
      <c r="L710" s="76"/>
      <c r="M710" s="76"/>
      <c r="N710" s="77"/>
      <c r="Q710" s="78"/>
    </row>
    <row r="711" ht="15" spans="1:17">
      <c r="A711" s="75"/>
      <c r="F711" s="76"/>
      <c r="G711" s="76"/>
      <c r="H711" s="76"/>
      <c r="I711" s="76"/>
      <c r="J711" s="76"/>
      <c r="K711" s="76"/>
      <c r="L711" s="76"/>
      <c r="M711" s="76"/>
      <c r="N711" s="77"/>
      <c r="Q711" s="78"/>
    </row>
    <row r="712" ht="15" spans="1:17">
      <c r="A712" s="75"/>
      <c r="F712" s="76"/>
      <c r="G712" s="76"/>
      <c r="H712" s="76"/>
      <c r="I712" s="76"/>
      <c r="J712" s="76"/>
      <c r="K712" s="76"/>
      <c r="L712" s="76"/>
      <c r="M712" s="76"/>
      <c r="N712" s="77"/>
      <c r="Q712" s="78"/>
    </row>
    <row r="713" ht="15" spans="1:17">
      <c r="A713" s="75"/>
      <c r="F713" s="76"/>
      <c r="G713" s="76"/>
      <c r="H713" s="76"/>
      <c r="I713" s="76"/>
      <c r="J713" s="76"/>
      <c r="K713" s="76"/>
      <c r="L713" s="76"/>
      <c r="M713" s="76"/>
      <c r="N713" s="77"/>
      <c r="Q713" s="78"/>
    </row>
    <row r="714" ht="15" spans="1:17">
      <c r="A714" s="75"/>
      <c r="F714" s="76"/>
      <c r="G714" s="76"/>
      <c r="H714" s="76"/>
      <c r="I714" s="76"/>
      <c r="J714" s="76"/>
      <c r="K714" s="76"/>
      <c r="L714" s="76"/>
      <c r="M714" s="76"/>
      <c r="N714" s="77"/>
      <c r="Q714" s="78"/>
    </row>
    <row r="715" ht="15" spans="1:17">
      <c r="A715" s="75"/>
      <c r="F715" s="76"/>
      <c r="G715" s="76"/>
      <c r="H715" s="76"/>
      <c r="I715" s="76"/>
      <c r="J715" s="76"/>
      <c r="K715" s="76"/>
      <c r="L715" s="76"/>
      <c r="M715" s="76"/>
      <c r="N715" s="77"/>
      <c r="Q715" s="78"/>
    </row>
    <row r="716" ht="15" spans="1:17">
      <c r="A716" s="75"/>
      <c r="F716" s="76"/>
      <c r="G716" s="76"/>
      <c r="H716" s="76"/>
      <c r="I716" s="76"/>
      <c r="J716" s="76"/>
      <c r="K716" s="76"/>
      <c r="L716" s="76"/>
      <c r="M716" s="76"/>
      <c r="N716" s="77"/>
      <c r="Q716" s="78"/>
    </row>
    <row r="717" ht="15" spans="1:17">
      <c r="A717" s="75"/>
      <c r="F717" s="76"/>
      <c r="G717" s="76"/>
      <c r="H717" s="76"/>
      <c r="I717" s="76"/>
      <c r="J717" s="76"/>
      <c r="K717" s="76"/>
      <c r="L717" s="76"/>
      <c r="M717" s="76"/>
      <c r="N717" s="77"/>
      <c r="Q717" s="78"/>
    </row>
    <row r="718" ht="15" spans="1:17">
      <c r="A718" s="75"/>
      <c r="F718" s="76"/>
      <c r="G718" s="76"/>
      <c r="H718" s="76"/>
      <c r="I718" s="76"/>
      <c r="J718" s="76"/>
      <c r="K718" s="76"/>
      <c r="L718" s="76"/>
      <c r="M718" s="76"/>
      <c r="N718" s="77"/>
      <c r="Q718" s="78"/>
    </row>
    <row r="719" ht="15" spans="1:17">
      <c r="A719" s="75"/>
      <c r="F719" s="76"/>
      <c r="G719" s="76"/>
      <c r="H719" s="76"/>
      <c r="I719" s="76"/>
      <c r="J719" s="76"/>
      <c r="K719" s="76"/>
      <c r="L719" s="76"/>
      <c r="M719" s="76"/>
      <c r="N719" s="77"/>
      <c r="Q719" s="78"/>
    </row>
    <row r="720" ht="15" spans="1:17">
      <c r="A720" s="75"/>
      <c r="F720" s="76"/>
      <c r="G720" s="76"/>
      <c r="H720" s="76"/>
      <c r="I720" s="76"/>
      <c r="J720" s="76"/>
      <c r="K720" s="76"/>
      <c r="L720" s="76"/>
      <c r="M720" s="76"/>
      <c r="N720" s="77"/>
      <c r="Q720" s="78"/>
    </row>
    <row r="721" ht="15" spans="1:17">
      <c r="A721" s="75"/>
      <c r="F721" s="76"/>
      <c r="G721" s="76"/>
      <c r="H721" s="76"/>
      <c r="I721" s="76"/>
      <c r="J721" s="76"/>
      <c r="K721" s="76"/>
      <c r="L721" s="76"/>
      <c r="M721" s="76"/>
      <c r="N721" s="77"/>
      <c r="Q721" s="78"/>
    </row>
    <row r="722" ht="15" spans="1:17">
      <c r="A722" s="75"/>
      <c r="F722" s="76"/>
      <c r="G722" s="76"/>
      <c r="H722" s="76"/>
      <c r="I722" s="76"/>
      <c r="J722" s="76"/>
      <c r="K722" s="76"/>
      <c r="L722" s="76"/>
      <c r="M722" s="76"/>
      <c r="N722" s="77"/>
      <c r="Q722" s="78"/>
    </row>
    <row r="723" ht="15" spans="1:17">
      <c r="A723" s="75"/>
      <c r="F723" s="76"/>
      <c r="G723" s="76"/>
      <c r="H723" s="76"/>
      <c r="I723" s="76"/>
      <c r="J723" s="76"/>
      <c r="K723" s="76"/>
      <c r="L723" s="76"/>
      <c r="M723" s="76"/>
      <c r="N723" s="77"/>
      <c r="Q723" s="78"/>
    </row>
    <row r="724" ht="15" spans="1:17">
      <c r="A724" s="75"/>
      <c r="F724" s="76"/>
      <c r="G724" s="76"/>
      <c r="H724" s="76"/>
      <c r="I724" s="76"/>
      <c r="J724" s="76"/>
      <c r="K724" s="76"/>
      <c r="L724" s="76"/>
      <c r="M724" s="76"/>
      <c r="N724" s="77"/>
      <c r="Q724" s="78"/>
    </row>
    <row r="725" ht="15" spans="1:17">
      <c r="A725" s="75"/>
      <c r="F725" s="76"/>
      <c r="G725" s="76"/>
      <c r="H725" s="76"/>
      <c r="I725" s="76"/>
      <c r="J725" s="76"/>
      <c r="K725" s="76"/>
      <c r="L725" s="76"/>
      <c r="M725" s="76"/>
      <c r="N725" s="77"/>
      <c r="Q725" s="78"/>
    </row>
    <row r="726" ht="15" spans="1:17">
      <c r="A726" s="75"/>
      <c r="F726" s="76"/>
      <c r="G726" s="76"/>
      <c r="H726" s="76"/>
      <c r="I726" s="76"/>
      <c r="J726" s="76"/>
      <c r="K726" s="76"/>
      <c r="L726" s="76"/>
      <c r="M726" s="76"/>
      <c r="N726" s="77"/>
      <c r="Q726" s="78"/>
    </row>
    <row r="727" ht="15" spans="1:17">
      <c r="A727" s="75"/>
      <c r="F727" s="76"/>
      <c r="G727" s="76"/>
      <c r="H727" s="76"/>
      <c r="I727" s="76"/>
      <c r="J727" s="76"/>
      <c r="K727" s="76"/>
      <c r="L727" s="76"/>
      <c r="M727" s="76"/>
      <c r="N727" s="77"/>
      <c r="Q727" s="78"/>
    </row>
    <row r="728" ht="15" spans="1:17">
      <c r="A728" s="75"/>
      <c r="F728" s="76"/>
      <c r="G728" s="76"/>
      <c r="H728" s="76"/>
      <c r="I728" s="76"/>
      <c r="J728" s="76"/>
      <c r="K728" s="76"/>
      <c r="L728" s="76"/>
      <c r="M728" s="76"/>
      <c r="N728" s="77"/>
      <c r="Q728" s="78"/>
    </row>
    <row r="729" ht="15" spans="1:17">
      <c r="A729" s="75"/>
      <c r="F729" s="76"/>
      <c r="G729" s="76"/>
      <c r="H729" s="76"/>
      <c r="I729" s="76"/>
      <c r="J729" s="76"/>
      <c r="K729" s="76"/>
      <c r="L729" s="76"/>
      <c r="M729" s="76"/>
      <c r="N729" s="77"/>
      <c r="Q729" s="78"/>
    </row>
    <row r="730" ht="15" spans="1:17">
      <c r="A730" s="75"/>
      <c r="F730" s="76"/>
      <c r="G730" s="76"/>
      <c r="H730" s="76"/>
      <c r="I730" s="76"/>
      <c r="J730" s="76"/>
      <c r="K730" s="76"/>
      <c r="L730" s="76"/>
      <c r="M730" s="76"/>
      <c r="N730" s="77"/>
      <c r="Q730" s="78"/>
    </row>
    <row r="731" ht="15" spans="1:17">
      <c r="A731" s="75"/>
      <c r="F731" s="76"/>
      <c r="G731" s="76"/>
      <c r="H731" s="76"/>
      <c r="I731" s="76"/>
      <c r="J731" s="76"/>
      <c r="K731" s="76"/>
      <c r="L731" s="76"/>
      <c r="M731" s="76"/>
      <c r="N731" s="77"/>
      <c r="Q731" s="78"/>
    </row>
    <row r="732" ht="15" spans="1:17">
      <c r="A732" s="75"/>
      <c r="F732" s="76"/>
      <c r="G732" s="76"/>
      <c r="H732" s="76"/>
      <c r="I732" s="76"/>
      <c r="J732" s="76"/>
      <c r="K732" s="76"/>
      <c r="L732" s="76"/>
      <c r="M732" s="76"/>
      <c r="N732" s="77"/>
      <c r="Q732" s="78"/>
    </row>
    <row r="733" ht="15" spans="1:17">
      <c r="A733" s="75"/>
      <c r="F733" s="76"/>
      <c r="G733" s="76"/>
      <c r="H733" s="76"/>
      <c r="I733" s="76"/>
      <c r="J733" s="76"/>
      <c r="K733" s="76"/>
      <c r="L733" s="76"/>
      <c r="M733" s="76"/>
      <c r="N733" s="77"/>
      <c r="Q733" s="78"/>
    </row>
    <row r="734" ht="15" spans="1:17">
      <c r="A734" s="75"/>
      <c r="F734" s="76"/>
      <c r="G734" s="76"/>
      <c r="H734" s="76"/>
      <c r="I734" s="76"/>
      <c r="J734" s="76"/>
      <c r="K734" s="76"/>
      <c r="L734" s="76"/>
      <c r="M734" s="76"/>
      <c r="N734" s="77"/>
      <c r="Q734" s="78"/>
    </row>
    <row r="735" ht="15" spans="1:17">
      <c r="A735" s="75"/>
      <c r="F735" s="76"/>
      <c r="G735" s="76"/>
      <c r="H735" s="76"/>
      <c r="I735" s="76"/>
      <c r="J735" s="76"/>
      <c r="K735" s="76"/>
      <c r="L735" s="76"/>
      <c r="M735" s="76"/>
      <c r="N735" s="77"/>
      <c r="Q735" s="78"/>
    </row>
    <row r="736" ht="15" spans="1:17">
      <c r="A736" s="75"/>
      <c r="F736" s="76"/>
      <c r="G736" s="76"/>
      <c r="H736" s="76"/>
      <c r="I736" s="76"/>
      <c r="J736" s="76"/>
      <c r="K736" s="76"/>
      <c r="L736" s="76"/>
      <c r="M736" s="76"/>
      <c r="N736" s="77"/>
      <c r="Q736" s="78"/>
    </row>
    <row r="737" ht="15" spans="1:17">
      <c r="A737" s="75"/>
      <c r="F737" s="76"/>
      <c r="G737" s="76"/>
      <c r="H737" s="76"/>
      <c r="I737" s="76"/>
      <c r="J737" s="76"/>
      <c r="K737" s="76"/>
      <c r="L737" s="76"/>
      <c r="M737" s="76"/>
      <c r="N737" s="77"/>
      <c r="Q737" s="78"/>
    </row>
    <row r="738" ht="15" spans="1:17">
      <c r="A738" s="75"/>
      <c r="F738" s="76"/>
      <c r="G738" s="76"/>
      <c r="H738" s="76"/>
      <c r="I738" s="76"/>
      <c r="J738" s="76"/>
      <c r="K738" s="76"/>
      <c r="L738" s="76"/>
      <c r="M738" s="76"/>
      <c r="N738" s="77"/>
      <c r="Q738" s="78"/>
    </row>
    <row r="739" ht="15" spans="1:17">
      <c r="A739" s="75"/>
      <c r="F739" s="76"/>
      <c r="G739" s="76"/>
      <c r="H739" s="76"/>
      <c r="I739" s="76"/>
      <c r="J739" s="76"/>
      <c r="K739" s="76"/>
      <c r="L739" s="76"/>
      <c r="M739" s="76"/>
      <c r="N739" s="77"/>
      <c r="Q739" s="78"/>
    </row>
    <row r="740" ht="15" spans="1:17">
      <c r="A740" s="75"/>
      <c r="F740" s="76"/>
      <c r="G740" s="76"/>
      <c r="H740" s="76"/>
      <c r="I740" s="76"/>
      <c r="J740" s="76"/>
      <c r="K740" s="76"/>
      <c r="L740" s="76"/>
      <c r="M740" s="76"/>
      <c r="N740" s="77"/>
      <c r="Q740" s="78"/>
    </row>
    <row r="741" ht="15" spans="1:17">
      <c r="A741" s="75"/>
      <c r="F741" s="76"/>
      <c r="G741" s="76"/>
      <c r="H741" s="76"/>
      <c r="I741" s="76"/>
      <c r="J741" s="76"/>
      <c r="K741" s="76"/>
      <c r="L741" s="76"/>
      <c r="M741" s="76"/>
      <c r="N741" s="77"/>
      <c r="Q741" s="78"/>
    </row>
    <row r="742" ht="15" spans="1:17">
      <c r="A742" s="75"/>
      <c r="F742" s="76"/>
      <c r="G742" s="76"/>
      <c r="H742" s="76"/>
      <c r="I742" s="76"/>
      <c r="J742" s="76"/>
      <c r="K742" s="76"/>
      <c r="L742" s="76"/>
      <c r="M742" s="76"/>
      <c r="N742" s="77"/>
      <c r="Q742" s="78"/>
    </row>
    <row r="743" ht="15" spans="1:17">
      <c r="A743" s="75"/>
      <c r="F743" s="76"/>
      <c r="G743" s="76"/>
      <c r="H743" s="76"/>
      <c r="I743" s="76"/>
      <c r="J743" s="76"/>
      <c r="K743" s="76"/>
      <c r="L743" s="76"/>
      <c r="M743" s="76"/>
      <c r="N743" s="77"/>
      <c r="Q743" s="78"/>
    </row>
    <row r="744" ht="15" spans="1:17">
      <c r="A744" s="75"/>
      <c r="F744" s="76"/>
      <c r="G744" s="76"/>
      <c r="H744" s="76"/>
      <c r="I744" s="76"/>
      <c r="J744" s="76"/>
      <c r="K744" s="76"/>
      <c r="L744" s="76"/>
      <c r="M744" s="76"/>
      <c r="N744" s="77"/>
      <c r="Q744" s="78"/>
    </row>
    <row r="745" ht="15" spans="1:17">
      <c r="A745" s="75"/>
      <c r="F745" s="76"/>
      <c r="G745" s="76"/>
      <c r="H745" s="76"/>
      <c r="I745" s="76"/>
      <c r="J745" s="76"/>
      <c r="K745" s="76"/>
      <c r="L745" s="76"/>
      <c r="M745" s="76"/>
      <c r="N745" s="77"/>
      <c r="Q745" s="78"/>
    </row>
    <row r="746" ht="15" spans="1:17">
      <c r="A746" s="75"/>
      <c r="F746" s="76"/>
      <c r="G746" s="76"/>
      <c r="H746" s="76"/>
      <c r="I746" s="76"/>
      <c r="J746" s="76"/>
      <c r="K746" s="76"/>
      <c r="L746" s="76"/>
      <c r="M746" s="76"/>
      <c r="N746" s="77"/>
      <c r="Q746" s="78"/>
    </row>
    <row r="747" ht="15" spans="1:17">
      <c r="A747" s="75"/>
      <c r="F747" s="76"/>
      <c r="G747" s="76"/>
      <c r="H747" s="76"/>
      <c r="I747" s="76"/>
      <c r="J747" s="76"/>
      <c r="K747" s="76"/>
      <c r="L747" s="76"/>
      <c r="M747" s="76"/>
      <c r="N747" s="77"/>
      <c r="Q747" s="78"/>
    </row>
    <row r="748" ht="15" spans="1:17">
      <c r="A748" s="75"/>
      <c r="F748" s="76"/>
      <c r="G748" s="76"/>
      <c r="H748" s="76"/>
      <c r="I748" s="76"/>
      <c r="J748" s="76"/>
      <c r="K748" s="76"/>
      <c r="L748" s="76"/>
      <c r="M748" s="76"/>
      <c r="N748" s="77"/>
      <c r="Q748" s="78"/>
    </row>
    <row r="749" ht="15" spans="1:17">
      <c r="A749" s="75"/>
      <c r="F749" s="76"/>
      <c r="G749" s="76"/>
      <c r="H749" s="76"/>
      <c r="I749" s="76"/>
      <c r="J749" s="76"/>
      <c r="K749" s="76"/>
      <c r="L749" s="76"/>
      <c r="M749" s="76"/>
      <c r="N749" s="77"/>
      <c r="Q749" s="78"/>
    </row>
    <row r="750" ht="15" spans="1:17">
      <c r="A750" s="75"/>
      <c r="F750" s="76"/>
      <c r="G750" s="76"/>
      <c r="H750" s="76"/>
      <c r="I750" s="76"/>
      <c r="J750" s="76"/>
      <c r="K750" s="76"/>
      <c r="L750" s="76"/>
      <c r="M750" s="76"/>
      <c r="N750" s="77"/>
      <c r="Q750" s="78"/>
    </row>
    <row r="751" ht="15" spans="1:17">
      <c r="A751" s="75"/>
      <c r="F751" s="76"/>
      <c r="G751" s="76"/>
      <c r="H751" s="76"/>
      <c r="I751" s="76"/>
      <c r="J751" s="76"/>
      <c r="K751" s="76"/>
      <c r="L751" s="76"/>
      <c r="M751" s="76"/>
      <c r="N751" s="77"/>
      <c r="Q751" s="78"/>
    </row>
    <row r="752" ht="15" spans="1:17">
      <c r="A752" s="75"/>
      <c r="F752" s="76"/>
      <c r="G752" s="76"/>
      <c r="H752" s="76"/>
      <c r="I752" s="76"/>
      <c r="J752" s="76"/>
      <c r="K752" s="76"/>
      <c r="L752" s="76"/>
      <c r="M752" s="76"/>
      <c r="N752" s="77"/>
      <c r="Q752" s="78"/>
    </row>
    <row r="753" ht="15" spans="1:17">
      <c r="A753" s="75"/>
      <c r="F753" s="76"/>
      <c r="G753" s="76"/>
      <c r="H753" s="76"/>
      <c r="I753" s="76"/>
      <c r="J753" s="76"/>
      <c r="K753" s="76"/>
      <c r="L753" s="76"/>
      <c r="M753" s="76"/>
      <c r="N753" s="77"/>
      <c r="Q753" s="78"/>
    </row>
    <row r="754" ht="15" spans="1:17">
      <c r="A754" s="75"/>
      <c r="F754" s="76"/>
      <c r="G754" s="76"/>
      <c r="H754" s="76"/>
      <c r="I754" s="76"/>
      <c r="J754" s="76"/>
      <c r="K754" s="76"/>
      <c r="L754" s="76"/>
      <c r="M754" s="76"/>
      <c r="N754" s="77"/>
      <c r="Q754" s="78"/>
    </row>
    <row r="755" ht="15" spans="1:17">
      <c r="A755" s="75"/>
      <c r="F755" s="76"/>
      <c r="G755" s="76"/>
      <c r="H755" s="76"/>
      <c r="I755" s="76"/>
      <c r="J755" s="76"/>
      <c r="K755" s="76"/>
      <c r="L755" s="76"/>
      <c r="M755" s="76"/>
      <c r="N755" s="77"/>
      <c r="Q755" s="78"/>
    </row>
    <row r="756" ht="15" spans="1:17">
      <c r="A756" s="75"/>
      <c r="F756" s="76"/>
      <c r="G756" s="76"/>
      <c r="H756" s="76"/>
      <c r="I756" s="76"/>
      <c r="J756" s="76"/>
      <c r="K756" s="76"/>
      <c r="L756" s="76"/>
      <c r="M756" s="76"/>
      <c r="N756" s="77"/>
      <c r="Q756" s="78"/>
    </row>
    <row r="757" ht="15" spans="1:17">
      <c r="A757" s="75"/>
      <c r="F757" s="76"/>
      <c r="G757" s="76"/>
      <c r="H757" s="76"/>
      <c r="I757" s="76"/>
      <c r="J757" s="76"/>
      <c r="K757" s="76"/>
      <c r="L757" s="76"/>
      <c r="M757" s="76"/>
      <c r="N757" s="77"/>
      <c r="Q757" s="78"/>
    </row>
    <row r="758" ht="15" spans="1:17">
      <c r="A758" s="75"/>
      <c r="F758" s="76"/>
      <c r="G758" s="76"/>
      <c r="H758" s="76"/>
      <c r="I758" s="76"/>
      <c r="J758" s="76"/>
      <c r="K758" s="76"/>
      <c r="L758" s="76"/>
      <c r="M758" s="76"/>
      <c r="N758" s="77"/>
      <c r="Q758" s="78"/>
    </row>
    <row r="759" ht="15" spans="1:17">
      <c r="A759" s="75"/>
      <c r="F759" s="76"/>
      <c r="G759" s="76"/>
      <c r="H759" s="76"/>
      <c r="I759" s="76"/>
      <c r="J759" s="76"/>
      <c r="K759" s="76"/>
      <c r="L759" s="76"/>
      <c r="M759" s="76"/>
      <c r="N759" s="77"/>
      <c r="Q759" s="78"/>
    </row>
    <row r="760" ht="15" spans="1:17">
      <c r="A760" s="75"/>
      <c r="F760" s="76"/>
      <c r="G760" s="76"/>
      <c r="H760" s="76"/>
      <c r="I760" s="76"/>
      <c r="J760" s="76"/>
      <c r="K760" s="76"/>
      <c r="L760" s="76"/>
      <c r="M760" s="76"/>
      <c r="N760" s="77"/>
      <c r="Q760" s="78"/>
    </row>
    <row r="761" ht="15" spans="1:17">
      <c r="A761" s="75"/>
      <c r="F761" s="76"/>
      <c r="G761" s="76"/>
      <c r="H761" s="76"/>
      <c r="I761" s="76"/>
      <c r="J761" s="76"/>
      <c r="K761" s="76"/>
      <c r="L761" s="76"/>
      <c r="M761" s="76"/>
      <c r="N761" s="77"/>
      <c r="Q761" s="78"/>
    </row>
    <row r="762" ht="15" spans="1:17">
      <c r="A762" s="75"/>
      <c r="F762" s="76"/>
      <c r="G762" s="76"/>
      <c r="H762" s="76"/>
      <c r="I762" s="76"/>
      <c r="J762" s="76"/>
      <c r="K762" s="76"/>
      <c r="L762" s="76"/>
      <c r="M762" s="76"/>
      <c r="N762" s="77"/>
      <c r="Q762" s="78"/>
    </row>
    <row r="763" ht="15" spans="1:17">
      <c r="A763" s="75"/>
      <c r="F763" s="76"/>
      <c r="G763" s="76"/>
      <c r="H763" s="76"/>
      <c r="I763" s="76"/>
      <c r="J763" s="76"/>
      <c r="K763" s="76"/>
      <c r="L763" s="76"/>
      <c r="M763" s="76"/>
      <c r="N763" s="77"/>
      <c r="Q763" s="78"/>
    </row>
    <row r="764" ht="15" spans="1:17">
      <c r="A764" s="75"/>
      <c r="F764" s="76"/>
      <c r="G764" s="76"/>
      <c r="H764" s="76"/>
      <c r="I764" s="76"/>
      <c r="J764" s="76"/>
      <c r="K764" s="76"/>
      <c r="L764" s="76"/>
      <c r="M764" s="76"/>
      <c r="N764" s="77"/>
      <c r="Q764" s="78"/>
    </row>
    <row r="765" ht="15" spans="1:17">
      <c r="A765" s="75"/>
      <c r="F765" s="76"/>
      <c r="G765" s="76"/>
      <c r="H765" s="76"/>
      <c r="I765" s="76"/>
      <c r="J765" s="76"/>
      <c r="K765" s="76"/>
      <c r="L765" s="76"/>
      <c r="M765" s="76"/>
      <c r="N765" s="77"/>
      <c r="Q765" s="78"/>
    </row>
    <row r="766" ht="15" spans="1:17">
      <c r="A766" s="75"/>
      <c r="F766" s="76"/>
      <c r="G766" s="76"/>
      <c r="H766" s="76"/>
      <c r="I766" s="76"/>
      <c r="J766" s="76"/>
      <c r="K766" s="76"/>
      <c r="L766" s="76"/>
      <c r="M766" s="76"/>
      <c r="N766" s="77"/>
      <c r="Q766" s="78"/>
    </row>
    <row r="767" ht="15" spans="1:17">
      <c r="A767" s="75"/>
      <c r="F767" s="76"/>
      <c r="G767" s="76"/>
      <c r="H767" s="76"/>
      <c r="I767" s="76"/>
      <c r="J767" s="76"/>
      <c r="K767" s="76"/>
      <c r="L767" s="76"/>
      <c r="M767" s="76"/>
      <c r="N767" s="77"/>
      <c r="Q767" s="78"/>
    </row>
    <row r="768" ht="15" spans="1:17">
      <c r="A768" s="75"/>
      <c r="F768" s="76"/>
      <c r="G768" s="76"/>
      <c r="H768" s="76"/>
      <c r="I768" s="76"/>
      <c r="J768" s="76"/>
      <c r="K768" s="76"/>
      <c r="L768" s="76"/>
      <c r="M768" s="76"/>
      <c r="N768" s="77"/>
      <c r="Q768" s="78"/>
    </row>
    <row r="769" ht="15" spans="1:17">
      <c r="A769" s="75"/>
      <c r="F769" s="76"/>
      <c r="G769" s="76"/>
      <c r="H769" s="76"/>
      <c r="I769" s="76"/>
      <c r="J769" s="76"/>
      <c r="K769" s="76"/>
      <c r="L769" s="76"/>
      <c r="M769" s="76"/>
      <c r="N769" s="77"/>
      <c r="Q769" s="78"/>
    </row>
    <row r="770" ht="15" spans="1:17">
      <c r="A770" s="75"/>
      <c r="F770" s="76"/>
      <c r="G770" s="76"/>
      <c r="H770" s="76"/>
      <c r="I770" s="76"/>
      <c r="J770" s="76"/>
      <c r="K770" s="76"/>
      <c r="L770" s="76"/>
      <c r="M770" s="76"/>
      <c r="N770" s="77"/>
      <c r="Q770" s="78"/>
    </row>
    <row r="771" ht="15" spans="1:17">
      <c r="A771" s="75"/>
      <c r="F771" s="76"/>
      <c r="G771" s="76"/>
      <c r="H771" s="76"/>
      <c r="I771" s="76"/>
      <c r="J771" s="76"/>
      <c r="K771" s="76"/>
      <c r="L771" s="76"/>
      <c r="M771" s="76"/>
      <c r="N771" s="77"/>
      <c r="Q771" s="78"/>
    </row>
    <row r="772" ht="15" spans="1:17">
      <c r="A772" s="75"/>
      <c r="F772" s="76"/>
      <c r="G772" s="76"/>
      <c r="H772" s="76"/>
      <c r="I772" s="76"/>
      <c r="J772" s="76"/>
      <c r="K772" s="76"/>
      <c r="L772" s="76"/>
      <c r="M772" s="76"/>
      <c r="N772" s="77"/>
      <c r="Q772" s="78"/>
    </row>
    <row r="773" ht="15" spans="1:17">
      <c r="A773" s="75"/>
      <c r="F773" s="76"/>
      <c r="G773" s="76"/>
      <c r="H773" s="76"/>
      <c r="I773" s="76"/>
      <c r="J773" s="76"/>
      <c r="K773" s="76"/>
      <c r="L773" s="76"/>
      <c r="M773" s="76"/>
      <c r="N773" s="77"/>
      <c r="Q773" s="78"/>
    </row>
    <row r="774" ht="15" spans="1:17">
      <c r="A774" s="75"/>
      <c r="F774" s="76"/>
      <c r="G774" s="76"/>
      <c r="H774" s="76"/>
      <c r="I774" s="76"/>
      <c r="J774" s="76"/>
      <c r="K774" s="76"/>
      <c r="L774" s="76"/>
      <c r="M774" s="76"/>
      <c r="N774" s="77"/>
      <c r="Q774" s="78"/>
    </row>
    <row r="775" ht="15" spans="1:17">
      <c r="A775" s="75"/>
      <c r="F775" s="76"/>
      <c r="G775" s="76"/>
      <c r="H775" s="76"/>
      <c r="I775" s="76"/>
      <c r="J775" s="76"/>
      <c r="K775" s="76"/>
      <c r="L775" s="76"/>
      <c r="M775" s="76"/>
      <c r="N775" s="77"/>
      <c r="Q775" s="78"/>
    </row>
    <row r="776" ht="15" spans="1:17">
      <c r="A776" s="75"/>
      <c r="F776" s="76"/>
      <c r="G776" s="76"/>
      <c r="H776" s="76"/>
      <c r="I776" s="76"/>
      <c r="J776" s="76"/>
      <c r="K776" s="76"/>
      <c r="L776" s="76"/>
      <c r="M776" s="76"/>
      <c r="N776" s="77"/>
      <c r="Q776" s="78"/>
    </row>
    <row r="777" ht="15" spans="1:17">
      <c r="A777" s="75"/>
      <c r="F777" s="76"/>
      <c r="G777" s="76"/>
      <c r="H777" s="76"/>
      <c r="I777" s="76"/>
      <c r="J777" s="76"/>
      <c r="K777" s="76"/>
      <c r="L777" s="76"/>
      <c r="M777" s="76"/>
      <c r="N777" s="77"/>
      <c r="Q777" s="78"/>
    </row>
    <row r="778" ht="15" spans="1:17">
      <c r="A778" s="75"/>
      <c r="F778" s="76"/>
      <c r="G778" s="76"/>
      <c r="H778" s="76"/>
      <c r="I778" s="76"/>
      <c r="J778" s="76"/>
      <c r="K778" s="76"/>
      <c r="L778" s="76"/>
      <c r="M778" s="76"/>
      <c r="N778" s="77"/>
      <c r="Q778" s="78"/>
    </row>
    <row r="779" ht="15" spans="1:17">
      <c r="A779" s="75"/>
      <c r="F779" s="76"/>
      <c r="G779" s="76"/>
      <c r="H779" s="76"/>
      <c r="I779" s="76"/>
      <c r="J779" s="76"/>
      <c r="K779" s="76"/>
      <c r="L779" s="76"/>
      <c r="M779" s="76"/>
      <c r="N779" s="77"/>
      <c r="Q779" s="78"/>
    </row>
    <row r="780" ht="15" spans="1:17">
      <c r="A780" s="75"/>
      <c r="F780" s="76"/>
      <c r="G780" s="76"/>
      <c r="H780" s="76"/>
      <c r="I780" s="76"/>
      <c r="J780" s="76"/>
      <c r="K780" s="76"/>
      <c r="L780" s="76"/>
      <c r="M780" s="76"/>
      <c r="N780" s="77"/>
      <c r="Q780" s="78"/>
    </row>
    <row r="781" ht="15" spans="1:17">
      <c r="A781" s="75"/>
      <c r="F781" s="76"/>
      <c r="G781" s="76"/>
      <c r="H781" s="76"/>
      <c r="I781" s="76"/>
      <c r="J781" s="76"/>
      <c r="K781" s="76"/>
      <c r="L781" s="76"/>
      <c r="M781" s="76"/>
      <c r="N781" s="77"/>
      <c r="Q781" s="78"/>
    </row>
    <row r="782" ht="15" spans="1:17">
      <c r="A782" s="75"/>
      <c r="F782" s="76"/>
      <c r="G782" s="76"/>
      <c r="H782" s="76"/>
      <c r="I782" s="76"/>
      <c r="J782" s="76"/>
      <c r="K782" s="76"/>
      <c r="L782" s="76"/>
      <c r="M782" s="76"/>
      <c r="N782" s="77"/>
      <c r="Q782" s="78"/>
    </row>
    <row r="783" ht="15" spans="1:17">
      <c r="A783" s="75"/>
      <c r="F783" s="76"/>
      <c r="G783" s="76"/>
      <c r="H783" s="76"/>
      <c r="I783" s="76"/>
      <c r="J783" s="76"/>
      <c r="K783" s="76"/>
      <c r="L783" s="76"/>
      <c r="M783" s="76"/>
      <c r="N783" s="77"/>
      <c r="Q783" s="78"/>
    </row>
    <row r="784" ht="15" spans="1:17">
      <c r="A784" s="75"/>
      <c r="F784" s="76"/>
      <c r="G784" s="76"/>
      <c r="H784" s="76"/>
      <c r="I784" s="76"/>
      <c r="J784" s="76"/>
      <c r="K784" s="76"/>
      <c r="L784" s="76"/>
      <c r="M784" s="76"/>
      <c r="N784" s="77"/>
      <c r="Q784" s="78"/>
    </row>
    <row r="785" ht="15" spans="1:17">
      <c r="A785" s="75"/>
      <c r="F785" s="76"/>
      <c r="G785" s="76"/>
      <c r="H785" s="76"/>
      <c r="I785" s="76"/>
      <c r="J785" s="76"/>
      <c r="K785" s="76"/>
      <c r="L785" s="76"/>
      <c r="M785" s="76"/>
      <c r="N785" s="77"/>
      <c r="Q785" s="78"/>
    </row>
    <row r="786" ht="15" spans="1:17">
      <c r="A786" s="75"/>
      <c r="F786" s="76"/>
      <c r="G786" s="76"/>
      <c r="H786" s="76"/>
      <c r="I786" s="76"/>
      <c r="J786" s="76"/>
      <c r="K786" s="76"/>
      <c r="L786" s="76"/>
      <c r="M786" s="76"/>
      <c r="N786" s="77"/>
      <c r="Q786" s="78"/>
    </row>
    <row r="787" ht="15" spans="1:17">
      <c r="A787" s="75"/>
      <c r="F787" s="76"/>
      <c r="G787" s="76"/>
      <c r="H787" s="76"/>
      <c r="I787" s="76"/>
      <c r="J787" s="76"/>
      <c r="K787" s="76"/>
      <c r="L787" s="76"/>
      <c r="M787" s="76"/>
      <c r="N787" s="77"/>
      <c r="Q787" s="78"/>
    </row>
    <row r="788" ht="15" spans="1:17">
      <c r="A788" s="75"/>
      <c r="F788" s="76"/>
      <c r="G788" s="76"/>
      <c r="H788" s="76"/>
      <c r="I788" s="76"/>
      <c r="J788" s="76"/>
      <c r="K788" s="76"/>
      <c r="L788" s="76"/>
      <c r="M788" s="76"/>
      <c r="N788" s="77"/>
      <c r="Q788" s="78"/>
    </row>
    <row r="789" ht="15" spans="1:17">
      <c r="A789" s="75"/>
      <c r="F789" s="76"/>
      <c r="G789" s="76"/>
      <c r="H789" s="76"/>
      <c r="I789" s="76"/>
      <c r="J789" s="76"/>
      <c r="K789" s="76"/>
      <c r="L789" s="76"/>
      <c r="M789" s="76"/>
      <c r="N789" s="77"/>
      <c r="Q789" s="78"/>
    </row>
    <row r="790" ht="15" spans="1:17">
      <c r="A790" s="75"/>
      <c r="F790" s="76"/>
      <c r="G790" s="76"/>
      <c r="H790" s="76"/>
      <c r="I790" s="76"/>
      <c r="J790" s="76"/>
      <c r="K790" s="76"/>
      <c r="L790" s="76"/>
      <c r="M790" s="76"/>
      <c r="N790" s="77"/>
      <c r="Q790" s="78"/>
    </row>
    <row r="791" ht="15" spans="1:17">
      <c r="A791" s="75"/>
      <c r="F791" s="76"/>
      <c r="G791" s="76"/>
      <c r="H791" s="76"/>
      <c r="I791" s="76"/>
      <c r="J791" s="76"/>
      <c r="K791" s="76"/>
      <c r="L791" s="76"/>
      <c r="M791" s="76"/>
      <c r="N791" s="77"/>
      <c r="Q791" s="78"/>
    </row>
    <row r="792" ht="15" spans="1:17">
      <c r="A792" s="75"/>
      <c r="F792" s="76"/>
      <c r="G792" s="76"/>
      <c r="H792" s="76"/>
      <c r="I792" s="76"/>
      <c r="J792" s="76"/>
      <c r="K792" s="76"/>
      <c r="L792" s="76"/>
      <c r="M792" s="76"/>
      <c r="N792" s="77"/>
      <c r="Q792" s="78"/>
    </row>
    <row r="793" ht="15" spans="1:17">
      <c r="A793" s="75"/>
      <c r="F793" s="76"/>
      <c r="G793" s="76"/>
      <c r="H793" s="76"/>
      <c r="I793" s="76"/>
      <c r="J793" s="76"/>
      <c r="K793" s="76"/>
      <c r="L793" s="76"/>
      <c r="M793" s="76"/>
      <c r="N793" s="77"/>
      <c r="Q793" s="78"/>
    </row>
    <row r="794" ht="15" spans="1:17">
      <c r="A794" s="75"/>
      <c r="F794" s="76"/>
      <c r="G794" s="76"/>
      <c r="H794" s="76"/>
      <c r="I794" s="76"/>
      <c r="J794" s="76"/>
      <c r="K794" s="76"/>
      <c r="L794" s="76"/>
      <c r="M794" s="76"/>
      <c r="N794" s="77"/>
      <c r="Q794" s="78"/>
    </row>
    <row r="795" ht="15" spans="1:17">
      <c r="A795" s="75"/>
      <c r="F795" s="76"/>
      <c r="G795" s="76"/>
      <c r="H795" s="76"/>
      <c r="I795" s="76"/>
      <c r="J795" s="76"/>
      <c r="K795" s="76"/>
      <c r="L795" s="76"/>
      <c r="M795" s="76"/>
      <c r="N795" s="77"/>
      <c r="Q795" s="78"/>
    </row>
    <row r="796" ht="15" spans="1:17">
      <c r="A796" s="75"/>
      <c r="F796" s="76"/>
      <c r="G796" s="76"/>
      <c r="H796" s="76"/>
      <c r="I796" s="76"/>
      <c r="J796" s="76"/>
      <c r="K796" s="76"/>
      <c r="L796" s="76"/>
      <c r="M796" s="76"/>
      <c r="N796" s="77"/>
      <c r="Q796" s="78"/>
    </row>
    <row r="797" ht="15" spans="1:17">
      <c r="A797" s="75"/>
      <c r="F797" s="76"/>
      <c r="G797" s="76"/>
      <c r="H797" s="76"/>
      <c r="I797" s="76"/>
      <c r="J797" s="76"/>
      <c r="K797" s="76"/>
      <c r="L797" s="76"/>
      <c r="M797" s="76"/>
      <c r="N797" s="77"/>
      <c r="Q797" s="78"/>
    </row>
    <row r="798" ht="15" spans="1:17">
      <c r="A798" s="75"/>
      <c r="F798" s="76"/>
      <c r="G798" s="76"/>
      <c r="H798" s="76"/>
      <c r="I798" s="76"/>
      <c r="J798" s="76"/>
      <c r="K798" s="76"/>
      <c r="L798" s="76"/>
      <c r="M798" s="76"/>
      <c r="N798" s="77"/>
      <c r="Q798" s="78"/>
    </row>
    <row r="799" ht="15" spans="1:17">
      <c r="A799" s="75"/>
      <c r="F799" s="76"/>
      <c r="G799" s="76"/>
      <c r="H799" s="76"/>
      <c r="I799" s="76"/>
      <c r="J799" s="76"/>
      <c r="K799" s="76"/>
      <c r="L799" s="76"/>
      <c r="M799" s="76"/>
      <c r="N799" s="77"/>
      <c r="Q799" s="78"/>
    </row>
    <row r="800" ht="15" spans="1:17">
      <c r="A800" s="75"/>
      <c r="F800" s="76"/>
      <c r="G800" s="76"/>
      <c r="H800" s="76"/>
      <c r="I800" s="76"/>
      <c r="J800" s="76"/>
      <c r="K800" s="76"/>
      <c r="L800" s="76"/>
      <c r="M800" s="76"/>
      <c r="N800" s="77"/>
      <c r="Q800" s="78"/>
    </row>
    <row r="801" ht="15" spans="1:17">
      <c r="A801" s="75"/>
      <c r="F801" s="76"/>
      <c r="G801" s="76"/>
      <c r="H801" s="76"/>
      <c r="I801" s="76"/>
      <c r="J801" s="76"/>
      <c r="K801" s="76"/>
      <c r="L801" s="76"/>
      <c r="M801" s="76"/>
      <c r="N801" s="77"/>
      <c r="Q801" s="78"/>
    </row>
    <row r="802" ht="15" spans="1:17">
      <c r="A802" s="75"/>
      <c r="F802" s="76"/>
      <c r="G802" s="76"/>
      <c r="H802" s="76"/>
      <c r="I802" s="76"/>
      <c r="J802" s="76"/>
      <c r="K802" s="76"/>
      <c r="L802" s="76"/>
      <c r="M802" s="76"/>
      <c r="N802" s="77"/>
      <c r="Q802" s="78"/>
    </row>
    <row r="803" ht="15" spans="1:17">
      <c r="A803" s="75"/>
      <c r="F803" s="76"/>
      <c r="G803" s="76"/>
      <c r="H803" s="76"/>
      <c r="I803" s="76"/>
      <c r="J803" s="76"/>
      <c r="K803" s="76"/>
      <c r="L803" s="76"/>
      <c r="M803" s="76"/>
      <c r="N803" s="77"/>
      <c r="Q803" s="78"/>
    </row>
    <row r="804" ht="15" spans="1:17">
      <c r="A804" s="75"/>
      <c r="F804" s="76"/>
      <c r="G804" s="76"/>
      <c r="H804" s="76"/>
      <c r="I804" s="76"/>
      <c r="J804" s="76"/>
      <c r="K804" s="76"/>
      <c r="L804" s="76"/>
      <c r="M804" s="76"/>
      <c r="N804" s="77"/>
      <c r="Q804" s="78"/>
    </row>
    <row r="805" ht="15" spans="1:17">
      <c r="A805" s="75"/>
      <c r="F805" s="76"/>
      <c r="G805" s="76"/>
      <c r="H805" s="76"/>
      <c r="I805" s="76"/>
      <c r="J805" s="76"/>
      <c r="K805" s="76"/>
      <c r="L805" s="76"/>
      <c r="M805" s="76"/>
      <c r="N805" s="77"/>
      <c r="Q805" s="78"/>
    </row>
    <row r="806" ht="15" spans="1:17">
      <c r="A806" s="75"/>
      <c r="F806" s="76"/>
      <c r="G806" s="76"/>
      <c r="H806" s="76"/>
      <c r="I806" s="76"/>
      <c r="J806" s="76"/>
      <c r="K806" s="76"/>
      <c r="L806" s="76"/>
      <c r="M806" s="76"/>
      <c r="N806" s="77"/>
      <c r="Q806" s="78"/>
    </row>
    <row r="807" ht="15" spans="1:17">
      <c r="A807" s="75"/>
      <c r="F807" s="76"/>
      <c r="G807" s="76"/>
      <c r="H807" s="76"/>
      <c r="I807" s="76"/>
      <c r="J807" s="76"/>
      <c r="K807" s="76"/>
      <c r="L807" s="76"/>
      <c r="M807" s="76"/>
      <c r="N807" s="77"/>
      <c r="Q807" s="78"/>
    </row>
    <row r="808" ht="15" spans="1:17">
      <c r="A808" s="75"/>
      <c r="F808" s="76"/>
      <c r="G808" s="76"/>
      <c r="H808" s="76"/>
      <c r="I808" s="76"/>
      <c r="J808" s="76"/>
      <c r="K808" s="76"/>
      <c r="L808" s="76"/>
      <c r="M808" s="76"/>
      <c r="N808" s="77"/>
      <c r="Q808" s="78"/>
    </row>
    <row r="809" ht="15" spans="1:17">
      <c r="A809" s="75"/>
      <c r="F809" s="76"/>
      <c r="G809" s="76"/>
      <c r="H809" s="76"/>
      <c r="I809" s="76"/>
      <c r="J809" s="76"/>
      <c r="K809" s="76"/>
      <c r="L809" s="76"/>
      <c r="M809" s="76"/>
      <c r="N809" s="77"/>
      <c r="Q809" s="78"/>
    </row>
    <row r="810" ht="15" spans="1:17">
      <c r="A810" s="75"/>
      <c r="F810" s="76"/>
      <c r="G810" s="76"/>
      <c r="H810" s="76"/>
      <c r="I810" s="76"/>
      <c r="J810" s="76"/>
      <c r="K810" s="76"/>
      <c r="L810" s="76"/>
      <c r="M810" s="76"/>
      <c r="N810" s="77"/>
      <c r="Q810" s="78"/>
    </row>
    <row r="811" ht="15" spans="1:17">
      <c r="A811" s="75"/>
      <c r="F811" s="76"/>
      <c r="G811" s="76"/>
      <c r="H811" s="76"/>
      <c r="I811" s="76"/>
      <c r="J811" s="76"/>
      <c r="K811" s="76"/>
      <c r="L811" s="76"/>
      <c r="M811" s="76"/>
      <c r="N811" s="77"/>
      <c r="Q811" s="78"/>
    </row>
    <row r="812" ht="15" spans="1:17">
      <c r="A812" s="75"/>
      <c r="F812" s="76"/>
      <c r="G812" s="76"/>
      <c r="H812" s="76"/>
      <c r="I812" s="76"/>
      <c r="J812" s="76"/>
      <c r="K812" s="76"/>
      <c r="L812" s="76"/>
      <c r="M812" s="76"/>
      <c r="N812" s="77"/>
      <c r="Q812" s="78"/>
    </row>
    <row r="813" ht="15" spans="1:17">
      <c r="A813" s="75"/>
      <c r="F813" s="76"/>
      <c r="G813" s="76"/>
      <c r="H813" s="76"/>
      <c r="I813" s="76"/>
      <c r="J813" s="76"/>
      <c r="K813" s="76"/>
      <c r="L813" s="76"/>
      <c r="M813" s="76"/>
      <c r="N813" s="77"/>
      <c r="Q813" s="78"/>
    </row>
    <row r="814" ht="15" spans="1:17">
      <c r="A814" s="75"/>
      <c r="F814" s="76"/>
      <c r="G814" s="76"/>
      <c r="H814" s="76"/>
      <c r="I814" s="76"/>
      <c r="J814" s="76"/>
      <c r="K814" s="76"/>
      <c r="L814" s="76"/>
      <c r="M814" s="76"/>
      <c r="N814" s="77"/>
      <c r="Q814" s="78"/>
    </row>
    <row r="815" ht="15" spans="1:17">
      <c r="A815" s="75"/>
      <c r="F815" s="76"/>
      <c r="G815" s="76"/>
      <c r="H815" s="76"/>
      <c r="I815" s="76"/>
      <c r="J815" s="76"/>
      <c r="K815" s="76"/>
      <c r="L815" s="76"/>
      <c r="M815" s="76"/>
      <c r="N815" s="77"/>
      <c r="Q815" s="78"/>
    </row>
    <row r="816" ht="15" spans="1:17">
      <c r="A816" s="75"/>
      <c r="F816" s="76"/>
      <c r="G816" s="76"/>
      <c r="H816" s="76"/>
      <c r="I816" s="76"/>
      <c r="J816" s="76"/>
      <c r="K816" s="76"/>
      <c r="L816" s="76"/>
      <c r="M816" s="76"/>
      <c r="N816" s="77"/>
      <c r="Q816" s="78"/>
    </row>
    <row r="817" ht="15" spans="1:17">
      <c r="A817" s="75"/>
      <c r="F817" s="76"/>
      <c r="G817" s="76"/>
      <c r="H817" s="76"/>
      <c r="I817" s="76"/>
      <c r="J817" s="76"/>
      <c r="K817" s="76"/>
      <c r="L817" s="76"/>
      <c r="M817" s="76"/>
      <c r="N817" s="77"/>
      <c r="Q817" s="78"/>
    </row>
    <row r="818" ht="15" spans="1:17">
      <c r="A818" s="75"/>
      <c r="F818" s="76"/>
      <c r="G818" s="76"/>
      <c r="H818" s="76"/>
      <c r="I818" s="76"/>
      <c r="J818" s="76"/>
      <c r="K818" s="76"/>
      <c r="L818" s="76"/>
      <c r="M818" s="76"/>
      <c r="N818" s="77"/>
      <c r="Q818" s="78"/>
    </row>
    <row r="819" ht="15" spans="1:17">
      <c r="A819" s="75"/>
      <c r="F819" s="76"/>
      <c r="G819" s="76"/>
      <c r="H819" s="76"/>
      <c r="I819" s="76"/>
      <c r="J819" s="76"/>
      <c r="K819" s="76"/>
      <c r="L819" s="76"/>
      <c r="M819" s="76"/>
      <c r="N819" s="77"/>
      <c r="Q819" s="78"/>
    </row>
    <row r="820" ht="15" spans="1:17">
      <c r="A820" s="75"/>
      <c r="F820" s="76"/>
      <c r="G820" s="76"/>
      <c r="H820" s="76"/>
      <c r="I820" s="76"/>
      <c r="J820" s="76"/>
      <c r="K820" s="76"/>
      <c r="L820" s="76"/>
      <c r="M820" s="76"/>
      <c r="N820" s="77"/>
      <c r="Q820" s="78"/>
    </row>
    <row r="821" ht="15" spans="1:17">
      <c r="A821" s="75"/>
      <c r="F821" s="76"/>
      <c r="G821" s="76"/>
      <c r="H821" s="76"/>
      <c r="I821" s="76"/>
      <c r="J821" s="76"/>
      <c r="K821" s="76"/>
      <c r="L821" s="76"/>
      <c r="M821" s="76"/>
      <c r="N821" s="77"/>
      <c r="Q821" s="78"/>
    </row>
    <row r="822" ht="15" spans="1:17">
      <c r="A822" s="75"/>
      <c r="F822" s="76"/>
      <c r="G822" s="76"/>
      <c r="H822" s="76"/>
      <c r="I822" s="76"/>
      <c r="J822" s="76"/>
      <c r="K822" s="76"/>
      <c r="L822" s="76"/>
      <c r="M822" s="76"/>
      <c r="N822" s="77"/>
      <c r="Q822" s="78"/>
    </row>
    <row r="823" ht="15" spans="1:17">
      <c r="A823" s="75"/>
      <c r="F823" s="76"/>
      <c r="G823" s="76"/>
      <c r="H823" s="76"/>
      <c r="I823" s="76"/>
      <c r="J823" s="76"/>
      <c r="K823" s="76"/>
      <c r="L823" s="76"/>
      <c r="M823" s="76"/>
      <c r="N823" s="77"/>
      <c r="Q823" s="78"/>
    </row>
    <row r="824" ht="15" spans="1:17">
      <c r="A824" s="75"/>
      <c r="F824" s="76"/>
      <c r="G824" s="76"/>
      <c r="H824" s="76"/>
      <c r="I824" s="76"/>
      <c r="J824" s="76"/>
      <c r="K824" s="76"/>
      <c r="L824" s="76"/>
      <c r="M824" s="76"/>
      <c r="N824" s="77"/>
      <c r="Q824" s="78"/>
    </row>
    <row r="825" ht="15" spans="1:17">
      <c r="A825" s="75"/>
      <c r="F825" s="76"/>
      <c r="G825" s="76"/>
      <c r="H825" s="76"/>
      <c r="I825" s="76"/>
      <c r="J825" s="76"/>
      <c r="K825" s="76"/>
      <c r="L825" s="76"/>
      <c r="M825" s="76"/>
      <c r="N825" s="77"/>
      <c r="Q825" s="78"/>
    </row>
    <row r="826" ht="15" spans="1:17">
      <c r="A826" s="75"/>
      <c r="F826" s="76"/>
      <c r="G826" s="76"/>
      <c r="H826" s="76"/>
      <c r="I826" s="76"/>
      <c r="J826" s="76"/>
      <c r="K826" s="76"/>
      <c r="L826" s="76"/>
      <c r="M826" s="76"/>
      <c r="N826" s="77"/>
      <c r="Q826" s="78"/>
    </row>
    <row r="827" ht="15" spans="1:17">
      <c r="A827" s="75"/>
      <c r="F827" s="76"/>
      <c r="G827" s="76"/>
      <c r="H827" s="76"/>
      <c r="I827" s="76"/>
      <c r="J827" s="76"/>
      <c r="K827" s="76"/>
      <c r="L827" s="76"/>
      <c r="M827" s="76"/>
      <c r="N827" s="77"/>
      <c r="Q827" s="78"/>
    </row>
    <row r="828" ht="15" spans="1:17">
      <c r="A828" s="75"/>
      <c r="F828" s="76"/>
      <c r="G828" s="76"/>
      <c r="H828" s="76"/>
      <c r="I828" s="76"/>
      <c r="J828" s="76"/>
      <c r="K828" s="76"/>
      <c r="L828" s="76"/>
      <c r="M828" s="76"/>
      <c r="N828" s="77"/>
      <c r="Q828" s="78"/>
    </row>
    <row r="829" ht="15" spans="1:17">
      <c r="A829" s="75"/>
      <c r="F829" s="76"/>
      <c r="G829" s="76"/>
      <c r="H829" s="76"/>
      <c r="I829" s="76"/>
      <c r="J829" s="76"/>
      <c r="K829" s="76"/>
      <c r="L829" s="76"/>
      <c r="M829" s="76"/>
      <c r="N829" s="77"/>
      <c r="Q829" s="78"/>
    </row>
    <row r="830" ht="15" spans="1:17">
      <c r="A830" s="75"/>
      <c r="F830" s="76"/>
      <c r="G830" s="76"/>
      <c r="H830" s="76"/>
      <c r="I830" s="76"/>
      <c r="J830" s="76"/>
      <c r="K830" s="76"/>
      <c r="L830" s="76"/>
      <c r="M830" s="76"/>
      <c r="N830" s="77"/>
      <c r="Q830" s="78"/>
    </row>
    <row r="831" ht="15" spans="1:17">
      <c r="A831" s="75"/>
      <c r="F831" s="76"/>
      <c r="G831" s="76"/>
      <c r="H831" s="76"/>
      <c r="I831" s="76"/>
      <c r="J831" s="76"/>
      <c r="K831" s="76"/>
      <c r="L831" s="76"/>
      <c r="M831" s="76"/>
      <c r="N831" s="77"/>
      <c r="Q831" s="78"/>
    </row>
    <row r="832" ht="15" spans="1:17">
      <c r="A832" s="75"/>
      <c r="F832" s="76"/>
      <c r="G832" s="76"/>
      <c r="H832" s="76"/>
      <c r="I832" s="76"/>
      <c r="J832" s="76"/>
      <c r="K832" s="76"/>
      <c r="L832" s="76"/>
      <c r="M832" s="76"/>
      <c r="N832" s="77"/>
      <c r="Q832" s="78"/>
    </row>
    <row r="833" ht="15" spans="1:17">
      <c r="A833" s="75"/>
      <c r="F833" s="76"/>
      <c r="G833" s="76"/>
      <c r="H833" s="76"/>
      <c r="I833" s="76"/>
      <c r="J833" s="76"/>
      <c r="K833" s="76"/>
      <c r="L833" s="76"/>
      <c r="M833" s="76"/>
      <c r="N833" s="77"/>
      <c r="Q833" s="78"/>
    </row>
    <row r="834" ht="15" spans="1:17">
      <c r="A834" s="75"/>
      <c r="F834" s="76"/>
      <c r="G834" s="76"/>
      <c r="H834" s="76"/>
      <c r="I834" s="76"/>
      <c r="J834" s="76"/>
      <c r="K834" s="76"/>
      <c r="L834" s="76"/>
      <c r="M834" s="76"/>
      <c r="N834" s="77"/>
      <c r="Q834" s="78"/>
    </row>
    <row r="835" ht="15" spans="1:17">
      <c r="A835" s="75"/>
      <c r="F835" s="76"/>
      <c r="G835" s="76"/>
      <c r="H835" s="76"/>
      <c r="I835" s="76"/>
      <c r="J835" s="76"/>
      <c r="K835" s="76"/>
      <c r="L835" s="76"/>
      <c r="M835" s="76"/>
      <c r="N835" s="77"/>
      <c r="Q835" s="78"/>
    </row>
    <row r="836" ht="15" spans="1:17">
      <c r="A836" s="75"/>
      <c r="F836" s="76"/>
      <c r="G836" s="76"/>
      <c r="H836" s="76"/>
      <c r="I836" s="76"/>
      <c r="J836" s="76"/>
      <c r="K836" s="76"/>
      <c r="L836" s="76"/>
      <c r="M836" s="76"/>
      <c r="N836" s="77"/>
      <c r="Q836" s="78"/>
    </row>
    <row r="837" ht="15" spans="1:17">
      <c r="A837" s="75"/>
      <c r="F837" s="76"/>
      <c r="G837" s="76"/>
      <c r="H837" s="76"/>
      <c r="I837" s="76"/>
      <c r="J837" s="76"/>
      <c r="K837" s="76"/>
      <c r="L837" s="76"/>
      <c r="M837" s="76"/>
      <c r="N837" s="77"/>
      <c r="Q837" s="78"/>
    </row>
    <row r="838" ht="15" spans="1:17">
      <c r="A838" s="75"/>
      <c r="F838" s="76"/>
      <c r="G838" s="76"/>
      <c r="H838" s="76"/>
      <c r="I838" s="76"/>
      <c r="J838" s="76"/>
      <c r="K838" s="76"/>
      <c r="L838" s="76"/>
      <c r="M838" s="76"/>
      <c r="N838" s="77"/>
      <c r="Q838" s="78"/>
    </row>
    <row r="839" ht="15" spans="1:17">
      <c r="A839" s="75"/>
      <c r="F839" s="76"/>
      <c r="G839" s="76"/>
      <c r="H839" s="76"/>
      <c r="I839" s="76"/>
      <c r="J839" s="76"/>
      <c r="K839" s="76"/>
      <c r="L839" s="76"/>
      <c r="M839" s="76"/>
      <c r="N839" s="77"/>
      <c r="Q839" s="78"/>
    </row>
    <row r="840" ht="15" spans="1:17">
      <c r="A840" s="75"/>
      <c r="F840" s="76"/>
      <c r="G840" s="76"/>
      <c r="H840" s="76"/>
      <c r="I840" s="76"/>
      <c r="J840" s="76"/>
      <c r="K840" s="76"/>
      <c r="L840" s="76"/>
      <c r="M840" s="76"/>
      <c r="N840" s="77"/>
      <c r="Q840" s="78"/>
    </row>
    <row r="841" ht="15" spans="1:17">
      <c r="A841" s="75"/>
      <c r="F841" s="76"/>
      <c r="G841" s="76"/>
      <c r="H841" s="76"/>
      <c r="I841" s="76"/>
      <c r="J841" s="76"/>
      <c r="K841" s="76"/>
      <c r="L841" s="76"/>
      <c r="M841" s="76"/>
      <c r="N841" s="77"/>
      <c r="Q841" s="78"/>
    </row>
    <row r="842" ht="15" spans="1:17">
      <c r="A842" s="75"/>
      <c r="F842" s="76"/>
      <c r="G842" s="76"/>
      <c r="H842" s="76"/>
      <c r="I842" s="76"/>
      <c r="J842" s="76"/>
      <c r="K842" s="76"/>
      <c r="L842" s="76"/>
      <c r="M842" s="76"/>
      <c r="N842" s="77"/>
      <c r="Q842" s="78"/>
    </row>
    <row r="843" ht="15" spans="1:17">
      <c r="A843" s="75"/>
      <c r="F843" s="76"/>
      <c r="G843" s="76"/>
      <c r="H843" s="76"/>
      <c r="I843" s="76"/>
      <c r="J843" s="76"/>
      <c r="K843" s="76"/>
      <c r="L843" s="76"/>
      <c r="M843" s="76"/>
      <c r="N843" s="77"/>
      <c r="Q843" s="78"/>
    </row>
    <row r="844" ht="15" spans="1:17">
      <c r="A844" s="75"/>
      <c r="F844" s="76"/>
      <c r="G844" s="76"/>
      <c r="H844" s="76"/>
      <c r="I844" s="76"/>
      <c r="J844" s="76"/>
      <c r="K844" s="76"/>
      <c r="L844" s="76"/>
      <c r="M844" s="76"/>
      <c r="N844" s="77"/>
      <c r="Q844" s="78"/>
    </row>
    <row r="845" ht="15" spans="1:17">
      <c r="A845" s="75"/>
      <c r="F845" s="76"/>
      <c r="G845" s="76"/>
      <c r="H845" s="76"/>
      <c r="I845" s="76"/>
      <c r="J845" s="76"/>
      <c r="K845" s="76"/>
      <c r="L845" s="76"/>
      <c r="M845" s="76"/>
      <c r="N845" s="77"/>
      <c r="Q845" s="78"/>
    </row>
    <row r="846" ht="15" spans="1:17">
      <c r="A846" s="75"/>
      <c r="F846" s="76"/>
      <c r="G846" s="76"/>
      <c r="H846" s="76"/>
      <c r="I846" s="76"/>
      <c r="J846" s="76"/>
      <c r="K846" s="76"/>
      <c r="L846" s="76"/>
      <c r="M846" s="76"/>
      <c r="N846" s="77"/>
      <c r="Q846" s="78"/>
    </row>
    <row r="847" ht="15" spans="1:17">
      <c r="A847" s="75"/>
      <c r="F847" s="76"/>
      <c r="G847" s="76"/>
      <c r="H847" s="76"/>
      <c r="I847" s="76"/>
      <c r="J847" s="76"/>
      <c r="K847" s="76"/>
      <c r="L847" s="76"/>
      <c r="M847" s="76"/>
      <c r="N847" s="77"/>
      <c r="Q847" s="78"/>
    </row>
    <row r="848" ht="15" spans="1:17">
      <c r="A848" s="75"/>
      <c r="F848" s="76"/>
      <c r="G848" s="76"/>
      <c r="H848" s="76"/>
      <c r="I848" s="76"/>
      <c r="J848" s="76"/>
      <c r="K848" s="76"/>
      <c r="L848" s="76"/>
      <c r="M848" s="76"/>
      <c r="N848" s="77"/>
      <c r="Q848" s="78"/>
    </row>
    <row r="849" ht="15" spans="1:17">
      <c r="A849" s="75"/>
      <c r="F849" s="76"/>
      <c r="G849" s="76"/>
      <c r="H849" s="76"/>
      <c r="I849" s="76"/>
      <c r="J849" s="76"/>
      <c r="K849" s="76"/>
      <c r="L849" s="76"/>
      <c r="M849" s="76"/>
      <c r="N849" s="77"/>
      <c r="Q849" s="78"/>
    </row>
    <row r="850" ht="15" spans="1:17">
      <c r="A850" s="75"/>
      <c r="F850" s="76"/>
      <c r="G850" s="76"/>
      <c r="H850" s="76"/>
      <c r="I850" s="76"/>
      <c r="J850" s="76"/>
      <c r="K850" s="76"/>
      <c r="L850" s="76"/>
      <c r="M850" s="76"/>
      <c r="N850" s="77"/>
      <c r="Q850" s="78"/>
    </row>
    <row r="851" ht="15" spans="1:17">
      <c r="A851" s="75"/>
      <c r="F851" s="76"/>
      <c r="G851" s="76"/>
      <c r="H851" s="76"/>
      <c r="I851" s="76"/>
      <c r="J851" s="76"/>
      <c r="K851" s="76"/>
      <c r="L851" s="76"/>
      <c r="M851" s="76"/>
      <c r="N851" s="77"/>
      <c r="Q851" s="78"/>
    </row>
    <row r="852" ht="15" spans="1:17">
      <c r="A852" s="75"/>
      <c r="F852" s="76"/>
      <c r="G852" s="76"/>
      <c r="H852" s="76"/>
      <c r="I852" s="76"/>
      <c r="J852" s="76"/>
      <c r="K852" s="76"/>
      <c r="L852" s="76"/>
      <c r="M852" s="76"/>
      <c r="N852" s="77"/>
      <c r="Q852" s="78"/>
    </row>
    <row r="853" ht="15" spans="1:17">
      <c r="A853" s="75"/>
      <c r="F853" s="76"/>
      <c r="G853" s="76"/>
      <c r="H853" s="76"/>
      <c r="I853" s="76"/>
      <c r="J853" s="76"/>
      <c r="K853" s="76"/>
      <c r="L853" s="76"/>
      <c r="M853" s="76"/>
      <c r="N853" s="77"/>
      <c r="Q853" s="78"/>
    </row>
    <row r="854" ht="15" spans="1:17">
      <c r="A854" s="75"/>
      <c r="F854" s="76"/>
      <c r="G854" s="76"/>
      <c r="H854" s="76"/>
      <c r="I854" s="76"/>
      <c r="J854" s="76"/>
      <c r="K854" s="76"/>
      <c r="L854" s="76"/>
      <c r="M854" s="76"/>
      <c r="N854" s="77"/>
      <c r="Q854" s="78"/>
    </row>
    <row r="855" ht="15" spans="1:17">
      <c r="A855" s="75"/>
      <c r="F855" s="76"/>
      <c r="G855" s="76"/>
      <c r="H855" s="76"/>
      <c r="I855" s="76"/>
      <c r="J855" s="76"/>
      <c r="K855" s="76"/>
      <c r="L855" s="76"/>
      <c r="M855" s="76"/>
      <c r="N855" s="77"/>
      <c r="Q855" s="78"/>
    </row>
    <row r="856" ht="15" spans="1:17">
      <c r="A856" s="75"/>
      <c r="F856" s="76"/>
      <c r="G856" s="76"/>
      <c r="H856" s="76"/>
      <c r="I856" s="76"/>
      <c r="J856" s="76"/>
      <c r="K856" s="76"/>
      <c r="L856" s="76"/>
      <c r="M856" s="76"/>
      <c r="N856" s="77"/>
      <c r="Q856" s="78"/>
    </row>
    <row r="857" ht="15" spans="1:17">
      <c r="A857" s="75"/>
      <c r="F857" s="76"/>
      <c r="G857" s="76"/>
      <c r="H857" s="76"/>
      <c r="I857" s="76"/>
      <c r="J857" s="76"/>
      <c r="K857" s="76"/>
      <c r="L857" s="76"/>
      <c r="M857" s="76"/>
      <c r="N857" s="77"/>
      <c r="Q857" s="78"/>
    </row>
    <row r="858" ht="15" spans="1:17">
      <c r="A858" s="75"/>
      <c r="F858" s="76"/>
      <c r="G858" s="76"/>
      <c r="H858" s="76"/>
      <c r="I858" s="76"/>
      <c r="J858" s="76"/>
      <c r="K858" s="76"/>
      <c r="L858" s="76"/>
      <c r="M858" s="76"/>
      <c r="N858" s="77"/>
      <c r="Q858" s="78"/>
    </row>
    <row r="859" ht="15" spans="1:17">
      <c r="A859" s="75"/>
      <c r="F859" s="76"/>
      <c r="G859" s="76"/>
      <c r="H859" s="76"/>
      <c r="I859" s="76"/>
      <c r="J859" s="76"/>
      <c r="K859" s="76"/>
      <c r="L859" s="76"/>
      <c r="M859" s="76"/>
      <c r="N859" s="77"/>
      <c r="Q859" s="78"/>
    </row>
    <row r="860" ht="15" spans="1:17">
      <c r="A860" s="75"/>
      <c r="F860" s="76"/>
      <c r="G860" s="76"/>
      <c r="H860" s="76"/>
      <c r="I860" s="76"/>
      <c r="J860" s="76"/>
      <c r="K860" s="76"/>
      <c r="L860" s="76"/>
      <c r="M860" s="76"/>
      <c r="N860" s="77"/>
      <c r="Q860" s="78"/>
    </row>
    <row r="861" ht="15" spans="1:17">
      <c r="A861" s="75"/>
      <c r="F861" s="76"/>
      <c r="G861" s="76"/>
      <c r="H861" s="76"/>
      <c r="I861" s="76"/>
      <c r="J861" s="76"/>
      <c r="K861" s="76"/>
      <c r="L861" s="76"/>
      <c r="M861" s="76"/>
      <c r="N861" s="77"/>
      <c r="Q861" s="78"/>
    </row>
    <row r="862" ht="15" spans="1:17">
      <c r="A862" s="75"/>
      <c r="F862" s="76"/>
      <c r="G862" s="76"/>
      <c r="H862" s="76"/>
      <c r="I862" s="76"/>
      <c r="J862" s="76"/>
      <c r="K862" s="76"/>
      <c r="L862" s="76"/>
      <c r="M862" s="76"/>
      <c r="N862" s="77"/>
      <c r="Q862" s="78"/>
    </row>
    <row r="863" ht="15" spans="1:17">
      <c r="A863" s="75"/>
      <c r="F863" s="76"/>
      <c r="G863" s="76"/>
      <c r="H863" s="76"/>
      <c r="I863" s="76"/>
      <c r="J863" s="76"/>
      <c r="K863" s="76"/>
      <c r="L863" s="76"/>
      <c r="M863" s="76"/>
      <c r="N863" s="77"/>
      <c r="Q863" s="78"/>
    </row>
    <row r="864" ht="15" spans="1:17">
      <c r="A864" s="75"/>
      <c r="F864" s="76"/>
      <c r="G864" s="76"/>
      <c r="H864" s="76"/>
      <c r="I864" s="76"/>
      <c r="J864" s="76"/>
      <c r="K864" s="76"/>
      <c r="L864" s="76"/>
      <c r="M864" s="76"/>
      <c r="N864" s="77"/>
      <c r="Q864" s="78"/>
    </row>
    <row r="865" ht="15" spans="1:17">
      <c r="A865" s="75"/>
      <c r="F865" s="76"/>
      <c r="G865" s="76"/>
      <c r="H865" s="76"/>
      <c r="I865" s="76"/>
      <c r="J865" s="76"/>
      <c r="K865" s="76"/>
      <c r="L865" s="76"/>
      <c r="M865" s="76"/>
      <c r="N865" s="77"/>
      <c r="Q865" s="78"/>
    </row>
    <row r="866" ht="15" spans="1:17">
      <c r="A866" s="75"/>
      <c r="F866" s="76"/>
      <c r="G866" s="76"/>
      <c r="H866" s="76"/>
      <c r="I866" s="76"/>
      <c r="J866" s="76"/>
      <c r="K866" s="76"/>
      <c r="L866" s="76"/>
      <c r="M866" s="76"/>
      <c r="N866" s="77"/>
      <c r="Q866" s="78"/>
    </row>
    <row r="867" ht="15" spans="1:17">
      <c r="A867" s="75"/>
      <c r="F867" s="76"/>
      <c r="G867" s="76"/>
      <c r="H867" s="76"/>
      <c r="I867" s="76"/>
      <c r="J867" s="76"/>
      <c r="K867" s="76"/>
      <c r="L867" s="76"/>
      <c r="M867" s="76"/>
      <c r="N867" s="77"/>
      <c r="Q867" s="78"/>
    </row>
    <row r="868" ht="15" spans="1:17">
      <c r="A868" s="75"/>
      <c r="F868" s="76"/>
      <c r="G868" s="76"/>
      <c r="H868" s="76"/>
      <c r="I868" s="76"/>
      <c r="J868" s="76"/>
      <c r="K868" s="76"/>
      <c r="L868" s="76"/>
      <c r="M868" s="76"/>
      <c r="N868" s="77"/>
      <c r="Q868" s="78"/>
    </row>
    <row r="869" ht="15" spans="1:17">
      <c r="A869" s="75"/>
      <c r="F869" s="76"/>
      <c r="G869" s="76"/>
      <c r="H869" s="76"/>
      <c r="I869" s="76"/>
      <c r="J869" s="76"/>
      <c r="K869" s="76"/>
      <c r="L869" s="76"/>
      <c r="M869" s="76"/>
      <c r="N869" s="77"/>
      <c r="Q869" s="78"/>
    </row>
    <row r="870" ht="15" spans="1:17">
      <c r="A870" s="75"/>
      <c r="F870" s="76"/>
      <c r="G870" s="76"/>
      <c r="H870" s="76"/>
      <c r="I870" s="76"/>
      <c r="J870" s="76"/>
      <c r="K870" s="76"/>
      <c r="L870" s="76"/>
      <c r="M870" s="76"/>
      <c r="N870" s="77"/>
      <c r="Q870" s="78"/>
    </row>
    <row r="871" ht="15" spans="1:17">
      <c r="A871" s="75"/>
      <c r="F871" s="76"/>
      <c r="G871" s="76"/>
      <c r="H871" s="76"/>
      <c r="I871" s="76"/>
      <c r="J871" s="76"/>
      <c r="K871" s="76"/>
      <c r="L871" s="76"/>
      <c r="M871" s="76"/>
      <c r="N871" s="77"/>
      <c r="Q871" s="78"/>
    </row>
    <row r="872" ht="15" spans="1:17">
      <c r="A872" s="75"/>
      <c r="F872" s="76"/>
      <c r="G872" s="76"/>
      <c r="H872" s="76"/>
      <c r="I872" s="76"/>
      <c r="J872" s="76"/>
      <c r="K872" s="76"/>
      <c r="L872" s="76"/>
      <c r="M872" s="76"/>
      <c r="N872" s="77"/>
      <c r="Q872" s="78"/>
    </row>
    <row r="873" ht="15" spans="1:17">
      <c r="A873" s="75"/>
      <c r="F873" s="76"/>
      <c r="G873" s="76"/>
      <c r="H873" s="76"/>
      <c r="I873" s="76"/>
      <c r="J873" s="76"/>
      <c r="K873" s="76"/>
      <c r="L873" s="76"/>
      <c r="M873" s="76"/>
      <c r="N873" s="77"/>
      <c r="Q873" s="78"/>
    </row>
    <row r="874" ht="15" spans="1:17">
      <c r="A874" s="75"/>
      <c r="F874" s="76"/>
      <c r="G874" s="76"/>
      <c r="H874" s="76"/>
      <c r="I874" s="76"/>
      <c r="J874" s="76"/>
      <c r="K874" s="76"/>
      <c r="L874" s="76"/>
      <c r="M874" s="76"/>
      <c r="N874" s="77"/>
      <c r="Q874" s="78"/>
    </row>
    <row r="875" ht="15" spans="1:17">
      <c r="A875" s="75"/>
      <c r="F875" s="76"/>
      <c r="G875" s="76"/>
      <c r="H875" s="76"/>
      <c r="I875" s="76"/>
      <c r="J875" s="76"/>
      <c r="K875" s="76"/>
      <c r="L875" s="76"/>
      <c r="M875" s="76"/>
      <c r="N875" s="77"/>
      <c r="Q875" s="78"/>
    </row>
    <row r="876" ht="15" spans="1:17">
      <c r="A876" s="75"/>
      <c r="F876" s="76"/>
      <c r="G876" s="76"/>
      <c r="H876" s="76"/>
      <c r="I876" s="76"/>
      <c r="J876" s="76"/>
      <c r="K876" s="76"/>
      <c r="L876" s="76"/>
      <c r="M876" s="76"/>
      <c r="N876" s="77"/>
      <c r="Q876" s="78"/>
    </row>
    <row r="877" ht="15" spans="1:17">
      <c r="A877" s="75"/>
      <c r="F877" s="76"/>
      <c r="G877" s="76"/>
      <c r="H877" s="76"/>
      <c r="I877" s="76"/>
      <c r="J877" s="76"/>
      <c r="K877" s="76"/>
      <c r="L877" s="76"/>
      <c r="M877" s="76"/>
      <c r="N877" s="77"/>
      <c r="Q877" s="78"/>
    </row>
    <row r="878" ht="15" spans="1:17">
      <c r="A878" s="75"/>
      <c r="F878" s="76"/>
      <c r="G878" s="76"/>
      <c r="H878" s="76"/>
      <c r="I878" s="76"/>
      <c r="J878" s="76"/>
      <c r="K878" s="76"/>
      <c r="L878" s="76"/>
      <c r="M878" s="76"/>
      <c r="N878" s="77"/>
      <c r="Q878" s="78"/>
    </row>
    <row r="879" ht="15" spans="1:17">
      <c r="A879" s="75"/>
      <c r="F879" s="76"/>
      <c r="G879" s="76"/>
      <c r="H879" s="76"/>
      <c r="I879" s="76"/>
      <c r="J879" s="76"/>
      <c r="K879" s="76"/>
      <c r="L879" s="76"/>
      <c r="M879" s="76"/>
      <c r="N879" s="77"/>
      <c r="Q879" s="78"/>
    </row>
    <row r="880" ht="15" spans="1:17">
      <c r="A880" s="75"/>
      <c r="F880" s="76"/>
      <c r="G880" s="76"/>
      <c r="H880" s="76"/>
      <c r="I880" s="76"/>
      <c r="J880" s="76"/>
      <c r="K880" s="76"/>
      <c r="L880" s="76"/>
      <c r="M880" s="76"/>
      <c r="N880" s="77"/>
      <c r="Q880" s="78"/>
    </row>
    <row r="881" ht="15" spans="1:17">
      <c r="A881" s="75"/>
      <c r="F881" s="76"/>
      <c r="G881" s="76"/>
      <c r="H881" s="76"/>
      <c r="I881" s="76"/>
      <c r="J881" s="76"/>
      <c r="K881" s="76"/>
      <c r="L881" s="76"/>
      <c r="M881" s="76"/>
      <c r="N881" s="77"/>
      <c r="Q881" s="78"/>
    </row>
    <row r="882" ht="15" spans="1:17">
      <c r="A882" s="75"/>
      <c r="F882" s="76"/>
      <c r="G882" s="76"/>
      <c r="H882" s="76"/>
      <c r="I882" s="76"/>
      <c r="J882" s="76"/>
      <c r="K882" s="76"/>
      <c r="L882" s="76"/>
      <c r="M882" s="76"/>
      <c r="N882" s="77"/>
      <c r="Q882" s="78"/>
    </row>
    <row r="883" ht="15" spans="1:17">
      <c r="A883" s="75"/>
      <c r="F883" s="76"/>
      <c r="G883" s="76"/>
      <c r="H883" s="76"/>
      <c r="I883" s="76"/>
      <c r="J883" s="76"/>
      <c r="K883" s="76"/>
      <c r="L883" s="76"/>
      <c r="M883" s="76"/>
      <c r="N883" s="77"/>
      <c r="Q883" s="78"/>
    </row>
    <row r="884" ht="15" spans="1:17">
      <c r="A884" s="75"/>
      <c r="F884" s="76"/>
      <c r="G884" s="76"/>
      <c r="H884" s="76"/>
      <c r="I884" s="76"/>
      <c r="J884" s="76"/>
      <c r="K884" s="76"/>
      <c r="L884" s="76"/>
      <c r="M884" s="76"/>
      <c r="N884" s="77"/>
      <c r="Q884" s="78"/>
    </row>
    <row r="885" ht="15" spans="1:17">
      <c r="A885" s="75"/>
      <c r="F885" s="76"/>
      <c r="G885" s="76"/>
      <c r="H885" s="76"/>
      <c r="I885" s="76"/>
      <c r="J885" s="76"/>
      <c r="K885" s="76"/>
      <c r="L885" s="76"/>
      <c r="M885" s="76"/>
      <c r="N885" s="77"/>
      <c r="Q885" s="78"/>
    </row>
    <row r="886" ht="15" spans="1:17">
      <c r="A886" s="75"/>
      <c r="F886" s="76"/>
      <c r="G886" s="76"/>
      <c r="H886" s="76"/>
      <c r="I886" s="76"/>
      <c r="J886" s="76"/>
      <c r="K886" s="76"/>
      <c r="L886" s="76"/>
      <c r="M886" s="76"/>
      <c r="N886" s="77"/>
      <c r="Q886" s="78"/>
    </row>
    <row r="887" ht="15" spans="1:17">
      <c r="A887" s="75"/>
      <c r="F887" s="76"/>
      <c r="G887" s="76"/>
      <c r="H887" s="76"/>
      <c r="I887" s="76"/>
      <c r="J887" s="76"/>
      <c r="K887" s="76"/>
      <c r="L887" s="76"/>
      <c r="M887" s="76"/>
      <c r="N887" s="77"/>
      <c r="Q887" s="78"/>
    </row>
    <row r="888" ht="15" spans="1:17">
      <c r="A888" s="75"/>
      <c r="F888" s="76"/>
      <c r="G888" s="76"/>
      <c r="H888" s="76"/>
      <c r="I888" s="76"/>
      <c r="J888" s="76"/>
      <c r="K888" s="76"/>
      <c r="L888" s="76"/>
      <c r="M888" s="76"/>
      <c r="N888" s="77"/>
      <c r="Q888" s="78"/>
    </row>
    <row r="889" ht="15" spans="1:17">
      <c r="A889" s="75"/>
      <c r="F889" s="76"/>
      <c r="G889" s="76"/>
      <c r="H889" s="76"/>
      <c r="I889" s="76"/>
      <c r="J889" s="76"/>
      <c r="K889" s="76"/>
      <c r="L889" s="76"/>
      <c r="M889" s="76"/>
      <c r="N889" s="77"/>
      <c r="Q889" s="78"/>
    </row>
    <row r="890" ht="15" spans="1:17">
      <c r="A890" s="75"/>
      <c r="F890" s="76"/>
      <c r="G890" s="76"/>
      <c r="H890" s="76"/>
      <c r="I890" s="76"/>
      <c r="J890" s="76"/>
      <c r="K890" s="76"/>
      <c r="L890" s="76"/>
      <c r="M890" s="76"/>
      <c r="N890" s="77"/>
      <c r="Q890" s="78"/>
    </row>
    <row r="891" ht="15" spans="1:17">
      <c r="A891" s="75"/>
      <c r="F891" s="76"/>
      <c r="G891" s="76"/>
      <c r="H891" s="76"/>
      <c r="I891" s="76"/>
      <c r="J891" s="76"/>
      <c r="K891" s="76"/>
      <c r="L891" s="76"/>
      <c r="M891" s="76"/>
      <c r="N891" s="77"/>
      <c r="Q891" s="78"/>
    </row>
    <row r="892" ht="15" spans="1:17">
      <c r="A892" s="75"/>
      <c r="F892" s="76"/>
      <c r="G892" s="76"/>
      <c r="H892" s="76"/>
      <c r="I892" s="76"/>
      <c r="J892" s="76"/>
      <c r="K892" s="76"/>
      <c r="L892" s="76"/>
      <c r="M892" s="76"/>
      <c r="N892" s="77"/>
      <c r="Q892" s="78"/>
    </row>
    <row r="893" ht="15" spans="1:17">
      <c r="A893" s="75"/>
      <c r="F893" s="76"/>
      <c r="G893" s="76"/>
      <c r="H893" s="76"/>
      <c r="I893" s="76"/>
      <c r="J893" s="76"/>
      <c r="K893" s="76"/>
      <c r="L893" s="76"/>
      <c r="M893" s="76"/>
      <c r="N893" s="77"/>
      <c r="Q893" s="78"/>
    </row>
    <row r="894" ht="15" spans="1:17">
      <c r="A894" s="75"/>
      <c r="F894" s="76"/>
      <c r="G894" s="76"/>
      <c r="H894" s="76"/>
      <c r="I894" s="76"/>
      <c r="J894" s="76"/>
      <c r="K894" s="76"/>
      <c r="L894" s="76"/>
      <c r="M894" s="76"/>
      <c r="N894" s="77"/>
      <c r="Q894" s="78"/>
    </row>
    <row r="895" ht="15" spans="1:17">
      <c r="A895" s="75"/>
      <c r="F895" s="76"/>
      <c r="G895" s="76"/>
      <c r="H895" s="76"/>
      <c r="I895" s="76"/>
      <c r="J895" s="76"/>
      <c r="K895" s="76"/>
      <c r="L895" s="76"/>
      <c r="M895" s="76"/>
      <c r="N895" s="77"/>
      <c r="Q895" s="78"/>
    </row>
    <row r="896" ht="15" spans="1:17">
      <c r="A896" s="75"/>
      <c r="F896" s="76"/>
      <c r="G896" s="76"/>
      <c r="H896" s="76"/>
      <c r="I896" s="76"/>
      <c r="J896" s="76"/>
      <c r="K896" s="76"/>
      <c r="L896" s="76"/>
      <c r="M896" s="76"/>
      <c r="N896" s="77"/>
      <c r="Q896" s="78"/>
    </row>
    <row r="897" ht="15" spans="1:17">
      <c r="A897" s="75"/>
      <c r="F897" s="76"/>
      <c r="G897" s="76"/>
      <c r="H897" s="76"/>
      <c r="I897" s="76"/>
      <c r="J897" s="76"/>
      <c r="K897" s="76"/>
      <c r="L897" s="76"/>
      <c r="M897" s="76"/>
      <c r="N897" s="77"/>
      <c r="Q897" s="78"/>
    </row>
    <row r="898" ht="15" spans="1:17">
      <c r="A898" s="75"/>
      <c r="F898" s="76"/>
      <c r="G898" s="76"/>
      <c r="H898" s="76"/>
      <c r="I898" s="76"/>
      <c r="J898" s="76"/>
      <c r="K898" s="76"/>
      <c r="L898" s="76"/>
      <c r="M898" s="76"/>
      <c r="N898" s="77"/>
      <c r="Q898" s="78"/>
    </row>
    <row r="899" ht="15" spans="1:17">
      <c r="A899" s="75"/>
      <c r="F899" s="76"/>
      <c r="G899" s="76"/>
      <c r="H899" s="76"/>
      <c r="I899" s="76"/>
      <c r="J899" s="76"/>
      <c r="K899" s="76"/>
      <c r="L899" s="76"/>
      <c r="M899" s="76"/>
      <c r="N899" s="77"/>
      <c r="Q899" s="78"/>
    </row>
    <row r="900" ht="15" spans="1:17">
      <c r="A900" s="75"/>
      <c r="F900" s="76"/>
      <c r="G900" s="76"/>
      <c r="H900" s="76"/>
      <c r="I900" s="76"/>
      <c r="J900" s="76"/>
      <c r="K900" s="76"/>
      <c r="L900" s="76"/>
      <c r="M900" s="76"/>
      <c r="N900" s="77"/>
      <c r="Q900" s="78"/>
    </row>
    <row r="901" ht="15" spans="1:17">
      <c r="A901" s="75"/>
      <c r="F901" s="76"/>
      <c r="G901" s="76"/>
      <c r="H901" s="76"/>
      <c r="I901" s="76"/>
      <c r="J901" s="76"/>
      <c r="K901" s="76"/>
      <c r="L901" s="76"/>
      <c r="M901" s="76"/>
      <c r="N901" s="77"/>
      <c r="Q901" s="78"/>
    </row>
    <row r="902" ht="15" spans="1:17">
      <c r="A902" s="75"/>
      <c r="F902" s="76"/>
      <c r="G902" s="76"/>
      <c r="H902" s="76"/>
      <c r="I902" s="76"/>
      <c r="J902" s="76"/>
      <c r="K902" s="76"/>
      <c r="L902" s="76"/>
      <c r="M902" s="76"/>
      <c r="N902" s="77"/>
      <c r="Q902" s="78"/>
    </row>
    <row r="903" ht="15" spans="1:17">
      <c r="A903" s="75"/>
      <c r="F903" s="76"/>
      <c r="G903" s="76"/>
      <c r="H903" s="76"/>
      <c r="I903" s="76"/>
      <c r="J903" s="76"/>
      <c r="K903" s="76"/>
      <c r="L903" s="76"/>
      <c r="M903" s="76"/>
      <c r="N903" s="77"/>
      <c r="Q903" s="78"/>
    </row>
    <row r="904" ht="15" spans="1:17">
      <c r="A904" s="75"/>
      <c r="F904" s="76"/>
      <c r="G904" s="76"/>
      <c r="H904" s="76"/>
      <c r="I904" s="76"/>
      <c r="J904" s="76"/>
      <c r="K904" s="76"/>
      <c r="L904" s="76"/>
      <c r="M904" s="76"/>
      <c r="N904" s="77"/>
      <c r="Q904" s="78"/>
    </row>
    <row r="905" ht="15" spans="1:17">
      <c r="A905" s="75"/>
      <c r="F905" s="76"/>
      <c r="G905" s="76"/>
      <c r="H905" s="76"/>
      <c r="I905" s="76"/>
      <c r="J905" s="76"/>
      <c r="K905" s="76"/>
      <c r="L905" s="76"/>
      <c r="M905" s="76"/>
      <c r="N905" s="77"/>
      <c r="Q905" s="78"/>
    </row>
    <row r="906" ht="15" spans="1:17">
      <c r="A906" s="75"/>
      <c r="F906" s="76"/>
      <c r="G906" s="76"/>
      <c r="H906" s="76"/>
      <c r="I906" s="76"/>
      <c r="J906" s="76"/>
      <c r="K906" s="76"/>
      <c r="L906" s="76"/>
      <c r="M906" s="76"/>
      <c r="N906" s="77"/>
      <c r="Q906" s="78"/>
    </row>
    <row r="907" ht="15" spans="1:17">
      <c r="A907" s="75"/>
      <c r="F907" s="76"/>
      <c r="G907" s="76"/>
      <c r="H907" s="76"/>
      <c r="I907" s="76"/>
      <c r="J907" s="76"/>
      <c r="K907" s="76"/>
      <c r="L907" s="76"/>
      <c r="M907" s="76"/>
      <c r="N907" s="77"/>
      <c r="Q907" s="78"/>
    </row>
    <row r="908" ht="15" spans="1:17">
      <c r="A908" s="75"/>
      <c r="F908" s="76"/>
      <c r="G908" s="76"/>
      <c r="H908" s="76"/>
      <c r="I908" s="76"/>
      <c r="J908" s="76"/>
      <c r="K908" s="76"/>
      <c r="L908" s="76"/>
      <c r="M908" s="76"/>
      <c r="N908" s="77"/>
      <c r="Q908" s="78"/>
    </row>
    <row r="909" ht="15" spans="1:17">
      <c r="A909" s="75"/>
      <c r="F909" s="76"/>
      <c r="G909" s="76"/>
      <c r="H909" s="76"/>
      <c r="I909" s="76"/>
      <c r="J909" s="76"/>
      <c r="K909" s="76"/>
      <c r="L909" s="76"/>
      <c r="M909" s="76"/>
      <c r="N909" s="77"/>
      <c r="Q909" s="78"/>
    </row>
    <row r="910" ht="15" spans="1:17">
      <c r="A910" s="75"/>
      <c r="F910" s="76"/>
      <c r="G910" s="76"/>
      <c r="H910" s="76"/>
      <c r="I910" s="76"/>
      <c r="J910" s="76"/>
      <c r="K910" s="76"/>
      <c r="L910" s="76"/>
      <c r="M910" s="76"/>
      <c r="N910" s="77"/>
      <c r="Q910" s="78"/>
    </row>
    <row r="911" ht="15" spans="1:17">
      <c r="A911" s="75"/>
      <c r="F911" s="76"/>
      <c r="G911" s="76"/>
      <c r="H911" s="76"/>
      <c r="I911" s="76"/>
      <c r="J911" s="76"/>
      <c r="K911" s="76"/>
      <c r="L911" s="76"/>
      <c r="M911" s="76"/>
      <c r="N911" s="77"/>
      <c r="Q911" s="78"/>
    </row>
    <row r="912" ht="15" spans="1:17">
      <c r="A912" s="75"/>
      <c r="F912" s="76"/>
      <c r="G912" s="76"/>
      <c r="H912" s="76"/>
      <c r="I912" s="76"/>
      <c r="J912" s="76"/>
      <c r="K912" s="76"/>
      <c r="L912" s="76"/>
      <c r="M912" s="76"/>
      <c r="N912" s="77"/>
      <c r="Q912" s="78"/>
    </row>
    <row r="913" ht="15" spans="1:17">
      <c r="A913" s="75"/>
      <c r="F913" s="76"/>
      <c r="G913" s="76"/>
      <c r="H913" s="76"/>
      <c r="I913" s="76"/>
      <c r="J913" s="76"/>
      <c r="K913" s="76"/>
      <c r="L913" s="76"/>
      <c r="M913" s="76"/>
      <c r="N913" s="77"/>
      <c r="Q913" s="78"/>
    </row>
    <row r="914" ht="15" spans="1:17">
      <c r="A914" s="75"/>
      <c r="F914" s="76"/>
      <c r="G914" s="76"/>
      <c r="H914" s="76"/>
      <c r="I914" s="76"/>
      <c r="J914" s="76"/>
      <c r="K914" s="76"/>
      <c r="L914" s="76"/>
      <c r="M914" s="76"/>
      <c r="N914" s="77"/>
      <c r="Q914" s="78"/>
    </row>
    <row r="915" ht="15" spans="1:17">
      <c r="A915" s="75"/>
      <c r="F915" s="76"/>
      <c r="G915" s="76"/>
      <c r="H915" s="76"/>
      <c r="I915" s="76"/>
      <c r="J915" s="76"/>
      <c r="K915" s="76"/>
      <c r="L915" s="76"/>
      <c r="M915" s="76"/>
      <c r="N915" s="77"/>
      <c r="Q915" s="78"/>
    </row>
    <row r="916" ht="15" spans="1:17">
      <c r="A916" s="75"/>
      <c r="F916" s="76"/>
      <c r="G916" s="76"/>
      <c r="H916" s="76"/>
      <c r="I916" s="76"/>
      <c r="J916" s="76"/>
      <c r="K916" s="76"/>
      <c r="L916" s="76"/>
      <c r="M916" s="76"/>
      <c r="N916" s="77"/>
      <c r="Q916" s="78"/>
    </row>
    <row r="917" ht="15" spans="1:17">
      <c r="A917" s="75"/>
      <c r="F917" s="76"/>
      <c r="G917" s="76"/>
      <c r="H917" s="76"/>
      <c r="I917" s="76"/>
      <c r="J917" s="76"/>
      <c r="K917" s="76"/>
      <c r="L917" s="76"/>
      <c r="M917" s="76"/>
      <c r="N917" s="77"/>
      <c r="Q917" s="78"/>
    </row>
    <row r="918" ht="15" spans="1:17">
      <c r="A918" s="75"/>
      <c r="F918" s="76"/>
      <c r="G918" s="76"/>
      <c r="H918" s="76"/>
      <c r="I918" s="76"/>
      <c r="J918" s="76"/>
      <c r="K918" s="76"/>
      <c r="L918" s="76"/>
      <c r="M918" s="76"/>
      <c r="N918" s="77"/>
      <c r="Q918" s="78"/>
    </row>
    <row r="919" ht="15" spans="1:17">
      <c r="A919" s="75"/>
      <c r="F919" s="76"/>
      <c r="G919" s="76"/>
      <c r="H919" s="76"/>
      <c r="I919" s="76"/>
      <c r="J919" s="76"/>
      <c r="K919" s="76"/>
      <c r="L919" s="76"/>
      <c r="M919" s="76"/>
      <c r="N919" s="77"/>
      <c r="Q919" s="78"/>
    </row>
    <row r="920" ht="15" spans="1:17">
      <c r="A920" s="75"/>
      <c r="F920" s="76"/>
      <c r="G920" s="76"/>
      <c r="H920" s="76"/>
      <c r="I920" s="76"/>
      <c r="J920" s="76"/>
      <c r="K920" s="76"/>
      <c r="L920" s="76"/>
      <c r="M920" s="76"/>
      <c r="N920" s="77"/>
      <c r="Q920" s="78"/>
    </row>
    <row r="921" ht="15" spans="1:17">
      <c r="A921" s="75"/>
      <c r="F921" s="76"/>
      <c r="G921" s="76"/>
      <c r="H921" s="76"/>
      <c r="I921" s="76"/>
      <c r="J921" s="76"/>
      <c r="K921" s="76"/>
      <c r="L921" s="76"/>
      <c r="M921" s="76"/>
      <c r="N921" s="77"/>
      <c r="Q921" s="78"/>
    </row>
    <row r="922" ht="15" spans="1:17">
      <c r="A922" s="75"/>
      <c r="F922" s="76"/>
      <c r="G922" s="76"/>
      <c r="H922" s="76"/>
      <c r="I922" s="76"/>
      <c r="J922" s="76"/>
      <c r="K922" s="76"/>
      <c r="L922" s="76"/>
      <c r="M922" s="76"/>
      <c r="N922" s="77"/>
      <c r="Q922" s="78"/>
    </row>
    <row r="923" ht="15" spans="1:17">
      <c r="A923" s="75"/>
      <c r="F923" s="76"/>
      <c r="G923" s="76"/>
      <c r="H923" s="76"/>
      <c r="I923" s="76"/>
      <c r="J923" s="76"/>
      <c r="K923" s="76"/>
      <c r="L923" s="76"/>
      <c r="M923" s="76"/>
      <c r="N923" s="77"/>
      <c r="Q923" s="78"/>
    </row>
    <row r="924" ht="15" spans="1:17">
      <c r="A924" s="75"/>
      <c r="F924" s="76"/>
      <c r="G924" s="76"/>
      <c r="H924" s="76"/>
      <c r="I924" s="76"/>
      <c r="J924" s="76"/>
      <c r="K924" s="76"/>
      <c r="L924" s="76"/>
      <c r="M924" s="76"/>
      <c r="N924" s="77"/>
      <c r="Q924" s="78"/>
    </row>
    <row r="925" ht="15" spans="1:17">
      <c r="A925" s="75"/>
      <c r="F925" s="76"/>
      <c r="G925" s="76"/>
      <c r="H925" s="76"/>
      <c r="I925" s="76"/>
      <c r="J925" s="76"/>
      <c r="K925" s="76"/>
      <c r="L925" s="76"/>
      <c r="M925" s="76"/>
      <c r="N925" s="77"/>
      <c r="Q925" s="78"/>
    </row>
    <row r="926" ht="15" spans="1:17">
      <c r="A926" s="75"/>
      <c r="F926" s="76"/>
      <c r="G926" s="76"/>
      <c r="H926" s="76"/>
      <c r="I926" s="76"/>
      <c r="J926" s="76"/>
      <c r="K926" s="76"/>
      <c r="L926" s="76"/>
      <c r="M926" s="76"/>
      <c r="N926" s="77"/>
      <c r="Q926" s="78"/>
    </row>
    <row r="927" ht="15" spans="1:17">
      <c r="A927" s="75"/>
      <c r="F927" s="76"/>
      <c r="G927" s="76"/>
      <c r="H927" s="76"/>
      <c r="I927" s="76"/>
      <c r="J927" s="76"/>
      <c r="K927" s="76"/>
      <c r="L927" s="76"/>
      <c r="M927" s="76"/>
      <c r="N927" s="77"/>
      <c r="Q927" s="78"/>
    </row>
    <row r="928" ht="15" spans="1:17">
      <c r="A928" s="75"/>
      <c r="F928" s="76"/>
      <c r="G928" s="76"/>
      <c r="H928" s="76"/>
      <c r="I928" s="76"/>
      <c r="J928" s="76"/>
      <c r="K928" s="76"/>
      <c r="L928" s="76"/>
      <c r="M928" s="76"/>
      <c r="N928" s="77"/>
      <c r="Q928" s="78"/>
    </row>
    <row r="929" ht="15" spans="1:17">
      <c r="A929" s="75"/>
      <c r="F929" s="76"/>
      <c r="G929" s="76"/>
      <c r="H929" s="76"/>
      <c r="I929" s="76"/>
      <c r="J929" s="76"/>
      <c r="K929" s="76"/>
      <c r="L929" s="76"/>
      <c r="M929" s="76"/>
      <c r="N929" s="77"/>
      <c r="Q929" s="78"/>
    </row>
    <row r="930" ht="15" spans="1:17">
      <c r="A930" s="75"/>
      <c r="F930" s="76"/>
      <c r="G930" s="76"/>
      <c r="H930" s="76"/>
      <c r="I930" s="76"/>
      <c r="J930" s="76"/>
      <c r="K930" s="76"/>
      <c r="L930" s="76"/>
      <c r="M930" s="76"/>
      <c r="N930" s="77"/>
      <c r="Q930" s="78"/>
    </row>
    <row r="931" ht="15" spans="1:17">
      <c r="A931" s="75"/>
      <c r="F931" s="76"/>
      <c r="G931" s="76"/>
      <c r="H931" s="76"/>
      <c r="I931" s="76"/>
      <c r="J931" s="76"/>
      <c r="K931" s="76"/>
      <c r="L931" s="76"/>
      <c r="M931" s="76"/>
      <c r="N931" s="77"/>
      <c r="Q931" s="78"/>
    </row>
    <row r="932" ht="15" spans="1:17">
      <c r="A932" s="75"/>
      <c r="F932" s="76"/>
      <c r="G932" s="76"/>
      <c r="H932" s="76"/>
      <c r="I932" s="76"/>
      <c r="J932" s="76"/>
      <c r="K932" s="76"/>
      <c r="L932" s="76"/>
      <c r="M932" s="76"/>
      <c r="N932" s="77"/>
      <c r="Q932" s="78"/>
    </row>
    <row r="933" ht="15" spans="1:17">
      <c r="A933" s="75"/>
      <c r="F933" s="76"/>
      <c r="G933" s="76"/>
      <c r="H933" s="76"/>
      <c r="I933" s="76"/>
      <c r="J933" s="76"/>
      <c r="K933" s="76"/>
      <c r="L933" s="76"/>
      <c r="M933" s="76"/>
      <c r="N933" s="77"/>
      <c r="Q933" s="78"/>
    </row>
    <row r="934" ht="15" spans="1:17">
      <c r="A934" s="75"/>
      <c r="F934" s="76"/>
      <c r="G934" s="76"/>
      <c r="H934" s="76"/>
      <c r="I934" s="76"/>
      <c r="J934" s="76"/>
      <c r="K934" s="76"/>
      <c r="L934" s="76"/>
      <c r="M934" s="76"/>
      <c r="N934" s="77"/>
      <c r="Q934" s="78"/>
    </row>
    <row r="935" ht="15" spans="1:17">
      <c r="A935" s="75"/>
      <c r="F935" s="76"/>
      <c r="G935" s="76"/>
      <c r="H935" s="76"/>
      <c r="I935" s="76"/>
      <c r="J935" s="76"/>
      <c r="K935" s="76"/>
      <c r="L935" s="76"/>
      <c r="M935" s="76"/>
      <c r="N935" s="77"/>
      <c r="Q935" s="78"/>
    </row>
    <row r="936" ht="15" spans="1:17">
      <c r="A936" s="75"/>
      <c r="F936" s="76"/>
      <c r="G936" s="76"/>
      <c r="H936" s="76"/>
      <c r="I936" s="76"/>
      <c r="J936" s="76"/>
      <c r="K936" s="76"/>
      <c r="L936" s="76"/>
      <c r="M936" s="76"/>
      <c r="N936" s="77"/>
      <c r="Q936" s="78"/>
    </row>
    <row r="937" ht="15" spans="1:17">
      <c r="A937" s="75"/>
      <c r="F937" s="76"/>
      <c r="G937" s="76"/>
      <c r="H937" s="76"/>
      <c r="I937" s="76"/>
      <c r="J937" s="76"/>
      <c r="K937" s="76"/>
      <c r="L937" s="76"/>
      <c r="M937" s="76"/>
      <c r="N937" s="77"/>
      <c r="Q937" s="78"/>
    </row>
    <row r="938" ht="15" spans="1:17">
      <c r="A938" s="75"/>
      <c r="F938" s="76"/>
      <c r="G938" s="76"/>
      <c r="H938" s="76"/>
      <c r="I938" s="76"/>
      <c r="J938" s="76"/>
      <c r="K938" s="76"/>
      <c r="L938" s="76"/>
      <c r="M938" s="76"/>
      <c r="N938" s="77"/>
      <c r="Q938" s="78"/>
    </row>
    <row r="939" ht="15" spans="1:17">
      <c r="A939" s="75"/>
      <c r="F939" s="76"/>
      <c r="G939" s="76"/>
      <c r="H939" s="76"/>
      <c r="I939" s="76"/>
      <c r="J939" s="76"/>
      <c r="K939" s="76"/>
      <c r="L939" s="76"/>
      <c r="M939" s="76"/>
      <c r="N939" s="77"/>
      <c r="Q939" s="78"/>
    </row>
    <row r="940" ht="15" spans="1:17">
      <c r="A940" s="75"/>
      <c r="F940" s="76"/>
      <c r="G940" s="76"/>
      <c r="H940" s="76"/>
      <c r="I940" s="76"/>
      <c r="J940" s="76"/>
      <c r="K940" s="76"/>
      <c r="L940" s="76"/>
      <c r="M940" s="76"/>
      <c r="N940" s="77"/>
      <c r="Q940" s="78"/>
    </row>
    <row r="941" ht="15" spans="1:17">
      <c r="A941" s="75"/>
      <c r="F941" s="76"/>
      <c r="G941" s="76"/>
      <c r="H941" s="76"/>
      <c r="I941" s="76"/>
      <c r="J941" s="76"/>
      <c r="K941" s="76"/>
      <c r="L941" s="76"/>
      <c r="M941" s="76"/>
      <c r="N941" s="77"/>
      <c r="Q941" s="78"/>
    </row>
    <row r="942" ht="15" spans="1:17">
      <c r="A942" s="75"/>
      <c r="F942" s="76"/>
      <c r="G942" s="76"/>
      <c r="H942" s="76"/>
      <c r="I942" s="76"/>
      <c r="J942" s="76"/>
      <c r="K942" s="76"/>
      <c r="L942" s="76"/>
      <c r="M942" s="76"/>
      <c r="N942" s="77"/>
      <c r="Q942" s="78"/>
    </row>
    <row r="943" ht="15" spans="1:17">
      <c r="A943" s="75"/>
      <c r="F943" s="76"/>
      <c r="G943" s="76"/>
      <c r="H943" s="76"/>
      <c r="I943" s="76"/>
      <c r="J943" s="76"/>
      <c r="K943" s="76"/>
      <c r="L943" s="76"/>
      <c r="M943" s="76"/>
      <c r="N943" s="77"/>
      <c r="Q943" s="78"/>
    </row>
    <row r="944" ht="15" spans="1:17">
      <c r="A944" s="75"/>
      <c r="F944" s="76"/>
      <c r="G944" s="76"/>
      <c r="H944" s="76"/>
      <c r="I944" s="76"/>
      <c r="J944" s="76"/>
      <c r="K944" s="76"/>
      <c r="L944" s="76"/>
      <c r="M944" s="76"/>
      <c r="N944" s="77"/>
      <c r="Q944" s="78"/>
    </row>
    <row r="945" ht="15" spans="1:17">
      <c r="A945" s="75"/>
      <c r="F945" s="76"/>
      <c r="G945" s="76"/>
      <c r="H945" s="76"/>
      <c r="I945" s="76"/>
      <c r="J945" s="76"/>
      <c r="K945" s="76"/>
      <c r="L945" s="76"/>
      <c r="M945" s="76"/>
      <c r="N945" s="77"/>
      <c r="Q945" s="78"/>
    </row>
    <row r="946" ht="15" spans="1:17">
      <c r="A946" s="75"/>
      <c r="F946" s="76"/>
      <c r="G946" s="76"/>
      <c r="H946" s="76"/>
      <c r="I946" s="76"/>
      <c r="J946" s="76"/>
      <c r="K946" s="76"/>
      <c r="L946" s="76"/>
      <c r="M946" s="76"/>
      <c r="N946" s="77"/>
      <c r="Q946" s="78"/>
    </row>
    <row r="947" ht="15" spans="1:17">
      <c r="A947" s="75"/>
      <c r="F947" s="76"/>
      <c r="G947" s="76"/>
      <c r="H947" s="76"/>
      <c r="I947" s="76"/>
      <c r="J947" s="76"/>
      <c r="K947" s="76"/>
      <c r="L947" s="76"/>
      <c r="M947" s="76"/>
      <c r="N947" s="77"/>
      <c r="Q947" s="78"/>
    </row>
    <row r="948" ht="15" spans="1:17">
      <c r="A948" s="75"/>
      <c r="F948" s="76"/>
      <c r="G948" s="76"/>
      <c r="H948" s="76"/>
      <c r="I948" s="76"/>
      <c r="J948" s="76"/>
      <c r="K948" s="76"/>
      <c r="L948" s="76"/>
      <c r="M948" s="76"/>
      <c r="N948" s="77"/>
      <c r="Q948" s="78"/>
    </row>
    <row r="949" ht="15" spans="1:17">
      <c r="A949" s="75"/>
      <c r="F949" s="76"/>
      <c r="G949" s="76"/>
      <c r="H949" s="76"/>
      <c r="I949" s="76"/>
      <c r="J949" s="76"/>
      <c r="K949" s="76"/>
      <c r="L949" s="76"/>
      <c r="M949" s="76"/>
      <c r="N949" s="77"/>
      <c r="Q949" s="78"/>
    </row>
    <row r="950" ht="15" spans="1:17">
      <c r="A950" s="75"/>
      <c r="F950" s="76"/>
      <c r="G950" s="76"/>
      <c r="H950" s="76"/>
      <c r="I950" s="76"/>
      <c r="J950" s="76"/>
      <c r="K950" s="76"/>
      <c r="L950" s="76"/>
      <c r="M950" s="76"/>
      <c r="N950" s="77"/>
      <c r="Q950" s="78"/>
    </row>
    <row r="951" ht="15" spans="1:17">
      <c r="A951" s="75"/>
      <c r="F951" s="76"/>
      <c r="G951" s="76"/>
      <c r="H951" s="76"/>
      <c r="I951" s="76"/>
      <c r="J951" s="76"/>
      <c r="K951" s="76"/>
      <c r="L951" s="76"/>
      <c r="M951" s="76"/>
      <c r="N951" s="77"/>
      <c r="Q951" s="78"/>
    </row>
    <row r="952" ht="15" spans="1:17">
      <c r="A952" s="75"/>
      <c r="F952" s="76"/>
      <c r="G952" s="76"/>
      <c r="H952" s="76"/>
      <c r="I952" s="76"/>
      <c r="J952" s="76"/>
      <c r="K952" s="76"/>
      <c r="L952" s="76"/>
      <c r="M952" s="76"/>
      <c r="N952" s="77"/>
      <c r="Q952" s="78"/>
    </row>
    <row r="953" ht="15" spans="1:17">
      <c r="A953" s="75"/>
      <c r="F953" s="76"/>
      <c r="G953" s="76"/>
      <c r="H953" s="76"/>
      <c r="I953" s="76"/>
      <c r="J953" s="76"/>
      <c r="K953" s="76"/>
      <c r="L953" s="76"/>
      <c r="M953" s="76"/>
      <c r="N953" s="77"/>
      <c r="Q953" s="78"/>
    </row>
    <row r="954" ht="15" spans="1:17">
      <c r="A954" s="75"/>
      <c r="F954" s="76"/>
      <c r="G954" s="76"/>
      <c r="H954" s="76"/>
      <c r="I954" s="76"/>
      <c r="J954" s="76"/>
      <c r="K954" s="76"/>
      <c r="L954" s="76"/>
      <c r="M954" s="76"/>
      <c r="N954" s="77"/>
      <c r="Q954" s="78"/>
    </row>
    <row r="955" ht="15" spans="1:17">
      <c r="A955" s="75"/>
      <c r="F955" s="76"/>
      <c r="G955" s="76"/>
      <c r="H955" s="76"/>
      <c r="I955" s="76"/>
      <c r="J955" s="76"/>
      <c r="K955" s="76"/>
      <c r="L955" s="76"/>
      <c r="M955" s="76"/>
      <c r="N955" s="77"/>
      <c r="Q955" s="78"/>
    </row>
    <row r="956" ht="15" spans="1:17">
      <c r="A956" s="75"/>
      <c r="F956" s="76"/>
      <c r="G956" s="76"/>
      <c r="H956" s="76"/>
      <c r="I956" s="76"/>
      <c r="J956" s="76"/>
      <c r="K956" s="76"/>
      <c r="L956" s="76"/>
      <c r="M956" s="76"/>
      <c r="N956" s="77"/>
      <c r="Q956" s="78"/>
    </row>
    <row r="957" ht="15" spans="1:17">
      <c r="A957" s="75"/>
      <c r="F957" s="76"/>
      <c r="G957" s="76"/>
      <c r="H957" s="76"/>
      <c r="I957" s="76"/>
      <c r="J957" s="76"/>
      <c r="K957" s="76"/>
      <c r="L957" s="76"/>
      <c r="M957" s="76"/>
      <c r="N957" s="77"/>
      <c r="Q957" s="78"/>
    </row>
    <row r="958" ht="15" spans="1:17">
      <c r="A958" s="75"/>
      <c r="F958" s="76"/>
      <c r="G958" s="76"/>
      <c r="H958" s="76"/>
      <c r="I958" s="76"/>
      <c r="J958" s="76"/>
      <c r="K958" s="76"/>
      <c r="L958" s="76"/>
      <c r="M958" s="76"/>
      <c r="N958" s="77"/>
      <c r="Q958" s="78"/>
    </row>
    <row r="959" ht="15" spans="1:17">
      <c r="A959" s="75"/>
      <c r="F959" s="76"/>
      <c r="G959" s="76"/>
      <c r="H959" s="76"/>
      <c r="I959" s="76"/>
      <c r="J959" s="76"/>
      <c r="K959" s="76"/>
      <c r="L959" s="76"/>
      <c r="M959" s="76"/>
      <c r="N959" s="77"/>
      <c r="Q959" s="78"/>
    </row>
    <row r="960" ht="15" spans="1:17">
      <c r="A960" s="75"/>
      <c r="F960" s="76"/>
      <c r="G960" s="76"/>
      <c r="H960" s="76"/>
      <c r="I960" s="76"/>
      <c r="J960" s="76"/>
      <c r="K960" s="76"/>
      <c r="L960" s="76"/>
      <c r="M960" s="76"/>
      <c r="N960" s="77"/>
      <c r="Q960" s="78"/>
    </row>
    <row r="961" ht="15" spans="1:17">
      <c r="A961" s="75"/>
      <c r="F961" s="76"/>
      <c r="G961" s="76"/>
      <c r="H961" s="76"/>
      <c r="I961" s="76"/>
      <c r="J961" s="76"/>
      <c r="K961" s="76"/>
      <c r="L961" s="76"/>
      <c r="M961" s="76"/>
      <c r="N961" s="77"/>
      <c r="Q961" s="78"/>
    </row>
    <row r="962" ht="15" spans="1:17">
      <c r="A962" s="75"/>
      <c r="F962" s="76"/>
      <c r="G962" s="76"/>
      <c r="H962" s="76"/>
      <c r="I962" s="76"/>
      <c r="J962" s="76"/>
      <c r="K962" s="76"/>
      <c r="L962" s="76"/>
      <c r="M962" s="76"/>
      <c r="N962" s="77"/>
      <c r="Q962" s="78"/>
    </row>
    <row r="963" ht="15" spans="1:17">
      <c r="A963" s="75"/>
      <c r="F963" s="76"/>
      <c r="G963" s="76"/>
      <c r="H963" s="76"/>
      <c r="I963" s="76"/>
      <c r="J963" s="76"/>
      <c r="K963" s="76"/>
      <c r="L963" s="76"/>
      <c r="M963" s="76"/>
      <c r="N963" s="77"/>
      <c r="Q963" s="78"/>
    </row>
    <row r="964" ht="15" spans="1:17">
      <c r="A964" s="75"/>
      <c r="F964" s="76"/>
      <c r="G964" s="76"/>
      <c r="H964" s="76"/>
      <c r="I964" s="76"/>
      <c r="J964" s="76"/>
      <c r="K964" s="76"/>
      <c r="L964" s="76"/>
      <c r="M964" s="76"/>
      <c r="N964" s="77"/>
      <c r="Q964" s="78"/>
    </row>
    <row r="965" ht="15" spans="1:17">
      <c r="A965" s="75"/>
      <c r="F965" s="76"/>
      <c r="G965" s="76"/>
      <c r="H965" s="76"/>
      <c r="I965" s="76"/>
      <c r="J965" s="76"/>
      <c r="K965" s="76"/>
      <c r="L965" s="76"/>
      <c r="M965" s="76"/>
      <c r="N965" s="77"/>
      <c r="Q965" s="78"/>
    </row>
    <row r="966" ht="15" spans="1:17">
      <c r="A966" s="75"/>
      <c r="F966" s="76"/>
      <c r="G966" s="76"/>
      <c r="H966" s="76"/>
      <c r="I966" s="76"/>
      <c r="J966" s="76"/>
      <c r="K966" s="76"/>
      <c r="L966" s="76"/>
      <c r="M966" s="76"/>
      <c r="N966" s="77"/>
      <c r="Q966" s="78"/>
    </row>
    <row r="967" ht="15" spans="1:17">
      <c r="A967" s="75"/>
      <c r="F967" s="76"/>
      <c r="G967" s="76"/>
      <c r="H967" s="76"/>
      <c r="I967" s="76"/>
      <c r="J967" s="76"/>
      <c r="K967" s="76"/>
      <c r="L967" s="76"/>
      <c r="M967" s="76"/>
      <c r="N967" s="77"/>
      <c r="Q967" s="78"/>
    </row>
    <row r="968" ht="15" spans="1:17">
      <c r="A968" s="75"/>
      <c r="F968" s="76"/>
      <c r="G968" s="76"/>
      <c r="H968" s="76"/>
      <c r="I968" s="76"/>
      <c r="J968" s="76"/>
      <c r="K968" s="76"/>
      <c r="L968" s="76"/>
      <c r="M968" s="76"/>
      <c r="N968" s="77"/>
      <c r="Q968" s="78"/>
    </row>
    <row r="969" ht="15" spans="1:17">
      <c r="A969" s="75"/>
      <c r="F969" s="76"/>
      <c r="G969" s="76"/>
      <c r="H969" s="76"/>
      <c r="I969" s="76"/>
      <c r="J969" s="76"/>
      <c r="K969" s="76"/>
      <c r="L969" s="76"/>
      <c r="M969" s="76"/>
      <c r="N969" s="77"/>
      <c r="Q969" s="78"/>
    </row>
    <row r="970" ht="15" spans="1:17">
      <c r="A970" s="75"/>
      <c r="F970" s="76"/>
      <c r="G970" s="76"/>
      <c r="H970" s="76"/>
      <c r="I970" s="76"/>
      <c r="J970" s="76"/>
      <c r="K970" s="76"/>
      <c r="L970" s="76"/>
      <c r="M970" s="76"/>
      <c r="N970" s="77"/>
      <c r="Q970" s="78"/>
    </row>
    <row r="971" ht="15" spans="1:17">
      <c r="A971" s="75"/>
      <c r="F971" s="76"/>
      <c r="G971" s="76"/>
      <c r="H971" s="76"/>
      <c r="I971" s="76"/>
      <c r="J971" s="76"/>
      <c r="K971" s="76"/>
      <c r="L971" s="76"/>
      <c r="M971" s="76"/>
      <c r="N971" s="77"/>
      <c r="Q971" s="78"/>
    </row>
    <row r="972" ht="15" spans="1:17">
      <c r="A972" s="75"/>
      <c r="F972" s="76"/>
      <c r="G972" s="76"/>
      <c r="H972" s="76"/>
      <c r="I972" s="76"/>
      <c r="J972" s="76"/>
      <c r="K972" s="76"/>
      <c r="L972" s="76"/>
      <c r="M972" s="76"/>
      <c r="N972" s="77"/>
      <c r="Q972" s="78"/>
    </row>
    <row r="973" ht="15" spans="1:17">
      <c r="A973" s="75"/>
      <c r="F973" s="76"/>
      <c r="G973" s="76"/>
      <c r="H973" s="76"/>
      <c r="I973" s="76"/>
      <c r="J973" s="76"/>
      <c r="K973" s="76"/>
      <c r="L973" s="76"/>
      <c r="M973" s="76"/>
      <c r="N973" s="77"/>
      <c r="Q973" s="78"/>
    </row>
    <row r="974" ht="15" spans="1:17">
      <c r="A974" s="75"/>
      <c r="F974" s="76"/>
      <c r="G974" s="76"/>
      <c r="H974" s="76"/>
      <c r="I974" s="76"/>
      <c r="J974" s="76"/>
      <c r="K974" s="76"/>
      <c r="L974" s="76"/>
      <c r="M974" s="76"/>
      <c r="N974" s="77"/>
      <c r="Q974" s="78"/>
    </row>
    <row r="975" ht="15" spans="1:17">
      <c r="A975" s="75"/>
      <c r="F975" s="76"/>
      <c r="G975" s="76"/>
      <c r="H975" s="76"/>
      <c r="I975" s="76"/>
      <c r="J975" s="76"/>
      <c r="K975" s="76"/>
      <c r="L975" s="76"/>
      <c r="M975" s="76"/>
      <c r="N975" s="77"/>
      <c r="Q975" s="78"/>
    </row>
    <row r="976" ht="15" spans="1:17">
      <c r="A976" s="75"/>
      <c r="F976" s="76"/>
      <c r="G976" s="76"/>
      <c r="H976" s="76"/>
      <c r="I976" s="76"/>
      <c r="J976" s="76"/>
      <c r="K976" s="76"/>
      <c r="L976" s="76"/>
      <c r="M976" s="76"/>
      <c r="N976" s="77"/>
      <c r="Q976" s="78"/>
    </row>
    <row r="977" ht="15" spans="1:17">
      <c r="A977" s="75"/>
      <c r="F977" s="76"/>
      <c r="G977" s="76"/>
      <c r="H977" s="76"/>
      <c r="I977" s="76"/>
      <c r="J977" s="76"/>
      <c r="K977" s="76"/>
      <c r="L977" s="76"/>
      <c r="M977" s="76"/>
      <c r="N977" s="77"/>
      <c r="Q977" s="78"/>
    </row>
    <row r="978" ht="15" spans="1:17">
      <c r="A978" s="75"/>
      <c r="F978" s="76"/>
      <c r="G978" s="76"/>
      <c r="H978" s="76"/>
      <c r="I978" s="76"/>
      <c r="J978" s="76"/>
      <c r="K978" s="76"/>
      <c r="L978" s="76"/>
      <c r="M978" s="76"/>
      <c r="N978" s="77"/>
      <c r="Q978" s="78"/>
    </row>
    <row r="979" ht="15" spans="1:17">
      <c r="A979" s="75"/>
      <c r="F979" s="76"/>
      <c r="G979" s="76"/>
      <c r="H979" s="76"/>
      <c r="I979" s="76"/>
      <c r="J979" s="76"/>
      <c r="K979" s="76"/>
      <c r="L979" s="76"/>
      <c r="M979" s="76"/>
      <c r="N979" s="77"/>
      <c r="Q979" s="78"/>
    </row>
    <row r="980" ht="15" spans="1:17">
      <c r="A980" s="75"/>
      <c r="F980" s="76"/>
      <c r="G980" s="76"/>
      <c r="H980" s="76"/>
      <c r="I980" s="76"/>
      <c r="J980" s="76"/>
      <c r="K980" s="76"/>
      <c r="L980" s="76"/>
      <c r="M980" s="76"/>
      <c r="N980" s="77"/>
      <c r="Q980" s="78"/>
    </row>
    <row r="981" ht="15" spans="1:17">
      <c r="A981" s="75"/>
      <c r="F981" s="76"/>
      <c r="G981" s="76"/>
      <c r="H981" s="76"/>
      <c r="I981" s="76"/>
      <c r="J981" s="76"/>
      <c r="K981" s="76"/>
      <c r="L981" s="76"/>
      <c r="M981" s="76"/>
      <c r="N981" s="77"/>
      <c r="Q981" s="78"/>
    </row>
    <row r="982" ht="15" spans="1:17">
      <c r="A982" s="75"/>
      <c r="F982" s="76"/>
      <c r="G982" s="76"/>
      <c r="H982" s="76"/>
      <c r="I982" s="76"/>
      <c r="J982" s="76"/>
      <c r="K982" s="76"/>
      <c r="L982" s="76"/>
      <c r="M982" s="76"/>
      <c r="N982" s="77"/>
      <c r="Q982" s="78"/>
    </row>
    <row r="983" ht="15" spans="1:17">
      <c r="A983" s="75"/>
      <c r="F983" s="76"/>
      <c r="G983" s="76"/>
      <c r="H983" s="76"/>
      <c r="I983" s="76"/>
      <c r="J983" s="76"/>
      <c r="K983" s="76"/>
      <c r="L983" s="76"/>
      <c r="M983" s="76"/>
      <c r="N983" s="77"/>
      <c r="Q983" s="78"/>
    </row>
    <row r="984" ht="15" spans="1:17">
      <c r="A984" s="75"/>
      <c r="F984" s="76"/>
      <c r="G984" s="76"/>
      <c r="H984" s="76"/>
      <c r="I984" s="76"/>
      <c r="J984" s="76"/>
      <c r="K984" s="76"/>
      <c r="L984" s="76"/>
      <c r="M984" s="76"/>
      <c r="N984" s="77"/>
      <c r="Q984" s="78"/>
    </row>
    <row r="985" ht="15" spans="1:17">
      <c r="A985" s="75"/>
      <c r="F985" s="76"/>
      <c r="G985" s="76"/>
      <c r="H985" s="76"/>
      <c r="I985" s="76"/>
      <c r="J985" s="76"/>
      <c r="K985" s="76"/>
      <c r="L985" s="76"/>
      <c r="M985" s="76"/>
      <c r="N985" s="77"/>
      <c r="Q985" s="78"/>
    </row>
    <row r="986" ht="15" spans="1:17">
      <c r="A986" s="75"/>
      <c r="F986" s="76"/>
      <c r="G986" s="76"/>
      <c r="H986" s="76"/>
      <c r="I986" s="76"/>
      <c r="J986" s="76"/>
      <c r="K986" s="76"/>
      <c r="L986" s="76"/>
      <c r="M986" s="76"/>
      <c r="N986" s="77"/>
      <c r="Q986" s="78"/>
    </row>
    <row r="987" ht="15" spans="1:17">
      <c r="A987" s="75"/>
      <c r="F987" s="76"/>
      <c r="G987" s="76"/>
      <c r="H987" s="76"/>
      <c r="I987" s="76"/>
      <c r="J987" s="76"/>
      <c r="K987" s="76"/>
      <c r="L987" s="76"/>
      <c r="M987" s="76"/>
      <c r="N987" s="77"/>
      <c r="Q987" s="78"/>
    </row>
    <row r="988" ht="15" spans="1:17">
      <c r="A988" s="75"/>
      <c r="F988" s="76"/>
      <c r="G988" s="76"/>
      <c r="H988" s="76"/>
      <c r="I988" s="76"/>
      <c r="J988" s="76"/>
      <c r="K988" s="76"/>
      <c r="L988" s="76"/>
      <c r="M988" s="76"/>
      <c r="N988" s="77"/>
      <c r="Q988" s="78"/>
    </row>
    <row r="989" ht="15" spans="1:17">
      <c r="A989" s="75"/>
      <c r="F989" s="76"/>
      <c r="G989" s="76"/>
      <c r="H989" s="76"/>
      <c r="I989" s="76"/>
      <c r="J989" s="76"/>
      <c r="K989" s="76"/>
      <c r="L989" s="76"/>
      <c r="M989" s="76"/>
      <c r="N989" s="77"/>
      <c r="Q989" s="78"/>
    </row>
    <row r="990" ht="15" spans="1:17">
      <c r="A990" s="75"/>
      <c r="F990" s="76"/>
      <c r="G990" s="76"/>
      <c r="H990" s="76"/>
      <c r="I990" s="76"/>
      <c r="J990" s="76"/>
      <c r="K990" s="76"/>
      <c r="L990" s="76"/>
      <c r="M990" s="76"/>
      <c r="N990" s="77"/>
      <c r="Q990" s="78"/>
    </row>
    <row r="991" ht="15" spans="1:17">
      <c r="A991" s="75"/>
      <c r="F991" s="76"/>
      <c r="G991" s="76"/>
      <c r="H991" s="76"/>
      <c r="I991" s="76"/>
      <c r="J991" s="76"/>
      <c r="K991" s="76"/>
      <c r="L991" s="76"/>
      <c r="M991" s="76"/>
      <c r="N991" s="77"/>
      <c r="Q991" s="78"/>
    </row>
    <row r="992" ht="15" spans="1:17">
      <c r="A992" s="75"/>
      <c r="F992" s="76"/>
      <c r="G992" s="76"/>
      <c r="H992" s="76"/>
      <c r="I992" s="76"/>
      <c r="J992" s="76"/>
      <c r="K992" s="76"/>
      <c r="L992" s="76"/>
      <c r="M992" s="76"/>
      <c r="N992" s="77"/>
      <c r="Q992" s="78"/>
    </row>
    <row r="993" ht="15" spans="1:17">
      <c r="A993" s="75"/>
      <c r="F993" s="76"/>
      <c r="G993" s="76"/>
      <c r="H993" s="76"/>
      <c r="I993" s="76"/>
      <c r="J993" s="76"/>
      <c r="K993" s="76"/>
      <c r="L993" s="76"/>
      <c r="M993" s="76"/>
      <c r="N993" s="77"/>
      <c r="Q993" s="78"/>
    </row>
    <row r="994" ht="15" spans="1:17">
      <c r="A994" s="75"/>
      <c r="F994" s="76"/>
      <c r="G994" s="76"/>
      <c r="H994" s="76"/>
      <c r="I994" s="76"/>
      <c r="J994" s="76"/>
      <c r="K994" s="76"/>
      <c r="L994" s="76"/>
      <c r="M994" s="76"/>
      <c r="N994" s="77"/>
      <c r="Q994" s="78"/>
    </row>
    <row r="995" ht="15" spans="1:17">
      <c r="A995" s="75"/>
      <c r="F995" s="76"/>
      <c r="G995" s="76"/>
      <c r="H995" s="76"/>
      <c r="I995" s="76"/>
      <c r="J995" s="76"/>
      <c r="K995" s="76"/>
      <c r="L995" s="76"/>
      <c r="M995" s="76"/>
      <c r="N995" s="77"/>
      <c r="Q995" s="78"/>
    </row>
    <row r="996" ht="15" spans="1:17">
      <c r="A996" s="75"/>
      <c r="F996" s="76"/>
      <c r="G996" s="76"/>
      <c r="H996" s="76"/>
      <c r="I996" s="76"/>
      <c r="J996" s="76"/>
      <c r="K996" s="76"/>
      <c r="L996" s="76"/>
      <c r="M996" s="76"/>
      <c r="N996" s="77"/>
      <c r="Q996" s="78"/>
    </row>
    <row r="997" ht="15" spans="1:17">
      <c r="A997" s="75"/>
      <c r="F997" s="76"/>
      <c r="G997" s="76"/>
      <c r="H997" s="76"/>
      <c r="I997" s="76"/>
      <c r="J997" s="76"/>
      <c r="K997" s="76"/>
      <c r="L997" s="76"/>
      <c r="M997" s="76"/>
      <c r="N997" s="77"/>
      <c r="Q997" s="78"/>
    </row>
    <row r="998" ht="15" spans="1:17">
      <c r="A998" s="75"/>
      <c r="F998" s="76"/>
      <c r="G998" s="76"/>
      <c r="H998" s="76"/>
      <c r="I998" s="76"/>
      <c r="J998" s="76"/>
      <c r="K998" s="76"/>
      <c r="L998" s="76"/>
      <c r="M998" s="76"/>
      <c r="N998" s="77"/>
      <c r="Q998" s="78"/>
    </row>
    <row r="999" ht="15" spans="1:17">
      <c r="A999" s="75"/>
      <c r="F999" s="76"/>
      <c r="G999" s="76"/>
      <c r="H999" s="76"/>
      <c r="I999" s="76"/>
      <c r="J999" s="76"/>
      <c r="K999" s="76"/>
      <c r="L999" s="76"/>
      <c r="M999" s="76"/>
      <c r="N999" s="77"/>
      <c r="Q999" s="78"/>
    </row>
    <row r="1000" ht="15" spans="1:17">
      <c r="A1000" s="75"/>
      <c r="F1000" s="76"/>
      <c r="G1000" s="76"/>
      <c r="H1000" s="76"/>
      <c r="I1000" s="76"/>
      <c r="J1000" s="76"/>
      <c r="K1000" s="76"/>
      <c r="L1000" s="76"/>
      <c r="M1000" s="76"/>
      <c r="N1000" s="77"/>
      <c r="Q1000" s="78"/>
    </row>
    <row r="1001" ht="15" spans="1:17">
      <c r="A1001" s="75"/>
      <c r="F1001" s="76"/>
      <c r="G1001" s="76"/>
      <c r="H1001" s="76"/>
      <c r="I1001" s="76"/>
      <c r="J1001" s="76"/>
      <c r="K1001" s="76"/>
      <c r="L1001" s="76"/>
      <c r="M1001" s="76"/>
      <c r="N1001" s="77"/>
      <c r="Q1001" s="78"/>
    </row>
    <row r="1002" ht="15" spans="1:17">
      <c r="A1002" s="75"/>
      <c r="F1002" s="76"/>
      <c r="G1002" s="76"/>
      <c r="H1002" s="76"/>
      <c r="I1002" s="76"/>
      <c r="J1002" s="76"/>
      <c r="K1002" s="76"/>
      <c r="L1002" s="76"/>
      <c r="M1002" s="76"/>
      <c r="N1002" s="77"/>
      <c r="Q1002" s="78"/>
    </row>
    <row r="1003" ht="15" spans="1:17">
      <c r="A1003" s="75"/>
      <c r="F1003" s="76"/>
      <c r="G1003" s="76"/>
      <c r="H1003" s="76"/>
      <c r="I1003" s="76"/>
      <c r="J1003" s="76"/>
      <c r="K1003" s="76"/>
      <c r="L1003" s="76"/>
      <c r="M1003" s="76"/>
      <c r="N1003" s="77"/>
      <c r="Q1003" s="78"/>
    </row>
    <row r="1004" ht="15" spans="1:17">
      <c r="A1004" s="75"/>
      <c r="F1004" s="76"/>
      <c r="G1004" s="76"/>
      <c r="H1004" s="76"/>
      <c r="I1004" s="76"/>
      <c r="J1004" s="76"/>
      <c r="K1004" s="76"/>
      <c r="L1004" s="76"/>
      <c r="M1004" s="76"/>
      <c r="N1004" s="77"/>
      <c r="Q1004" s="78"/>
    </row>
    <row r="1005" ht="15" spans="1:17">
      <c r="A1005" s="75"/>
      <c r="F1005" s="76"/>
      <c r="G1005" s="76"/>
      <c r="H1005" s="76"/>
      <c r="I1005" s="76"/>
      <c r="J1005" s="76"/>
      <c r="K1005" s="76"/>
      <c r="L1005" s="76"/>
      <c r="M1005" s="76"/>
      <c r="N1005" s="77"/>
      <c r="Q1005" s="78"/>
    </row>
    <row r="1006" ht="15" spans="1:17">
      <c r="A1006" s="75"/>
      <c r="F1006" s="76"/>
      <c r="G1006" s="76"/>
      <c r="H1006" s="76"/>
      <c r="I1006" s="76"/>
      <c r="J1006" s="76"/>
      <c r="K1006" s="76"/>
      <c r="L1006" s="76"/>
      <c r="M1006" s="76"/>
      <c r="N1006" s="77"/>
      <c r="Q1006" s="78"/>
    </row>
    <row r="1007" ht="15" spans="1:17">
      <c r="A1007" s="75"/>
      <c r="F1007" s="76"/>
      <c r="G1007" s="76"/>
      <c r="H1007" s="76"/>
      <c r="I1007" s="76"/>
      <c r="J1007" s="76"/>
      <c r="K1007" s="76"/>
      <c r="L1007" s="76"/>
      <c r="M1007" s="76"/>
      <c r="N1007" s="77"/>
      <c r="Q1007" s="78"/>
    </row>
    <row r="1008" ht="15" spans="1:17">
      <c r="A1008" s="75"/>
      <c r="F1008" s="76"/>
      <c r="G1008" s="76"/>
      <c r="H1008" s="76"/>
      <c r="I1008" s="76"/>
      <c r="J1008" s="76"/>
      <c r="K1008" s="76"/>
      <c r="L1008" s="76"/>
      <c r="M1008" s="76"/>
      <c r="N1008" s="77"/>
      <c r="Q1008" s="78"/>
    </row>
    <row r="1009" ht="15" spans="1:17">
      <c r="A1009" s="75"/>
      <c r="F1009" s="76"/>
      <c r="G1009" s="76"/>
      <c r="H1009" s="76"/>
      <c r="I1009" s="76"/>
      <c r="J1009" s="76"/>
      <c r="K1009" s="76"/>
      <c r="L1009" s="76"/>
      <c r="M1009" s="76"/>
      <c r="N1009" s="77"/>
      <c r="Q1009" s="78"/>
    </row>
    <row r="1010" ht="15" spans="1:17">
      <c r="A1010" s="75"/>
      <c r="F1010" s="76"/>
      <c r="G1010" s="76"/>
      <c r="H1010" s="76"/>
      <c r="I1010" s="76"/>
      <c r="J1010" s="76"/>
      <c r="K1010" s="76"/>
      <c r="L1010" s="76"/>
      <c r="M1010" s="76"/>
      <c r="N1010" s="77"/>
      <c r="Q1010" s="78"/>
    </row>
    <row r="1011" ht="15" spans="1:17">
      <c r="A1011" s="75"/>
      <c r="F1011" s="76"/>
      <c r="G1011" s="76"/>
      <c r="H1011" s="76"/>
      <c r="I1011" s="76"/>
      <c r="J1011" s="76"/>
      <c r="K1011" s="76"/>
      <c r="L1011" s="76"/>
      <c r="M1011" s="76"/>
      <c r="N1011" s="77"/>
      <c r="Q1011" s="78"/>
    </row>
    <row r="1012" ht="15" spans="1:17">
      <c r="A1012" s="75"/>
      <c r="F1012" s="76"/>
      <c r="G1012" s="76"/>
      <c r="H1012" s="76"/>
      <c r="I1012" s="76"/>
      <c r="J1012" s="76"/>
      <c r="K1012" s="76"/>
      <c r="L1012" s="76"/>
      <c r="M1012" s="76"/>
      <c r="N1012" s="77"/>
      <c r="Q1012" s="78"/>
    </row>
    <row r="1013" ht="15" spans="1:17">
      <c r="A1013" s="75"/>
      <c r="F1013" s="76"/>
      <c r="G1013" s="76"/>
      <c r="H1013" s="76"/>
      <c r="I1013" s="76"/>
      <c r="J1013" s="76"/>
      <c r="K1013" s="76"/>
      <c r="L1013" s="76"/>
      <c r="M1013" s="76"/>
      <c r="N1013" s="77"/>
      <c r="Q1013" s="78"/>
    </row>
    <row r="1014" ht="15" spans="1:17">
      <c r="A1014" s="75"/>
      <c r="F1014" s="76"/>
      <c r="G1014" s="76"/>
      <c r="H1014" s="76"/>
      <c r="I1014" s="76"/>
      <c r="J1014" s="76"/>
      <c r="K1014" s="76"/>
      <c r="L1014" s="76"/>
      <c r="M1014" s="76"/>
      <c r="N1014" s="77"/>
      <c r="Q1014" s="78"/>
    </row>
    <row r="1015" ht="15" spans="1:17">
      <c r="A1015" s="75"/>
      <c r="F1015" s="76"/>
      <c r="G1015" s="76"/>
      <c r="H1015" s="76"/>
      <c r="I1015" s="76"/>
      <c r="J1015" s="76"/>
      <c r="K1015" s="76"/>
      <c r="L1015" s="76"/>
      <c r="M1015" s="76"/>
      <c r="N1015" s="77"/>
      <c r="Q1015" s="78"/>
    </row>
    <row r="1016" ht="15" spans="1:17">
      <c r="A1016" s="75"/>
      <c r="F1016" s="76"/>
      <c r="G1016" s="76"/>
      <c r="H1016" s="76"/>
      <c r="I1016" s="76"/>
      <c r="J1016" s="76"/>
      <c r="K1016" s="76"/>
      <c r="L1016" s="76"/>
      <c r="M1016" s="76"/>
      <c r="N1016" s="77"/>
      <c r="Q1016" s="78"/>
    </row>
    <row r="1017" ht="15" spans="1:17">
      <c r="A1017" s="75"/>
      <c r="F1017" s="76"/>
      <c r="G1017" s="76"/>
      <c r="H1017" s="76"/>
      <c r="I1017" s="76"/>
      <c r="J1017" s="76"/>
      <c r="K1017" s="76"/>
      <c r="L1017" s="76"/>
      <c r="M1017" s="76"/>
      <c r="N1017" s="77"/>
      <c r="Q1017" s="78"/>
    </row>
    <row r="1018" ht="15" spans="1:17">
      <c r="A1018" s="75"/>
      <c r="F1018" s="76"/>
      <c r="G1018" s="76"/>
      <c r="H1018" s="76"/>
      <c r="I1018" s="76"/>
      <c r="J1018" s="76"/>
      <c r="K1018" s="76"/>
      <c r="L1018" s="76"/>
      <c r="M1018" s="76"/>
      <c r="N1018" s="77"/>
      <c r="Q1018" s="78"/>
    </row>
    <row r="1019" ht="15" spans="1:17">
      <c r="A1019" s="75"/>
      <c r="F1019" s="76"/>
      <c r="G1019" s="76"/>
      <c r="H1019" s="76"/>
      <c r="I1019" s="76"/>
      <c r="J1019" s="76"/>
      <c r="K1019" s="76"/>
      <c r="L1019" s="76"/>
      <c r="M1019" s="76"/>
      <c r="N1019" s="77"/>
      <c r="Q1019" s="78"/>
    </row>
    <row r="1020" ht="15" spans="1:17">
      <c r="A1020" s="75"/>
      <c r="F1020" s="76"/>
      <c r="G1020" s="76"/>
      <c r="H1020" s="76"/>
      <c r="I1020" s="76"/>
      <c r="J1020" s="76"/>
      <c r="K1020" s="76"/>
      <c r="L1020" s="76"/>
      <c r="M1020" s="76"/>
      <c r="N1020" s="77"/>
      <c r="Q1020" s="78"/>
    </row>
    <row r="1021" ht="15" spans="1:17">
      <c r="A1021" s="75"/>
      <c r="F1021" s="76"/>
      <c r="G1021" s="76"/>
      <c r="H1021" s="76"/>
      <c r="I1021" s="76"/>
      <c r="J1021" s="76"/>
      <c r="K1021" s="76"/>
      <c r="L1021" s="76"/>
      <c r="M1021" s="76"/>
      <c r="N1021" s="77"/>
      <c r="Q1021" s="78"/>
    </row>
    <row r="1022" ht="15" spans="1:17">
      <c r="A1022" s="75"/>
      <c r="F1022" s="76"/>
      <c r="G1022" s="76"/>
      <c r="H1022" s="76"/>
      <c r="I1022" s="76"/>
      <c r="J1022" s="76"/>
      <c r="K1022" s="76"/>
      <c r="L1022" s="76"/>
      <c r="M1022" s="76"/>
      <c r="N1022" s="77"/>
      <c r="Q1022" s="78"/>
    </row>
    <row r="1023" ht="15" spans="1:17">
      <c r="A1023" s="75"/>
      <c r="F1023" s="76"/>
      <c r="G1023" s="76"/>
      <c r="H1023" s="76"/>
      <c r="I1023" s="76"/>
      <c r="J1023" s="76"/>
      <c r="K1023" s="76"/>
      <c r="L1023" s="76"/>
      <c r="M1023" s="76"/>
      <c r="N1023" s="77"/>
      <c r="Q1023" s="78"/>
    </row>
    <row r="1024" ht="15" spans="1:17">
      <c r="A1024" s="75"/>
      <c r="F1024" s="76"/>
      <c r="G1024" s="76"/>
      <c r="H1024" s="76"/>
      <c r="I1024" s="76"/>
      <c r="J1024" s="76"/>
      <c r="K1024" s="76"/>
      <c r="L1024" s="76"/>
      <c r="M1024" s="76"/>
      <c r="N1024" s="77"/>
      <c r="Q1024" s="78"/>
    </row>
    <row r="1025" ht="15" spans="1:17">
      <c r="A1025" s="75"/>
      <c r="F1025" s="76"/>
      <c r="G1025" s="76"/>
      <c r="H1025" s="76"/>
      <c r="I1025" s="76"/>
      <c r="J1025" s="76"/>
      <c r="K1025" s="76"/>
      <c r="L1025" s="76"/>
      <c r="M1025" s="76"/>
      <c r="N1025" s="77"/>
      <c r="Q1025" s="78"/>
    </row>
    <row r="1026" ht="15" spans="1:17">
      <c r="A1026" s="75"/>
      <c r="F1026" s="76"/>
      <c r="G1026" s="76"/>
      <c r="H1026" s="76"/>
      <c r="I1026" s="76"/>
      <c r="J1026" s="76"/>
      <c r="K1026" s="76"/>
      <c r="L1026" s="76"/>
      <c r="M1026" s="76"/>
      <c r="N1026" s="77"/>
      <c r="Q1026" s="78"/>
    </row>
    <row r="1027" ht="15" spans="1:17">
      <c r="A1027" s="75"/>
      <c r="F1027" s="76"/>
      <c r="G1027" s="76"/>
      <c r="H1027" s="76"/>
      <c r="I1027" s="76"/>
      <c r="J1027" s="76"/>
      <c r="K1027" s="76"/>
      <c r="L1027" s="76"/>
      <c r="M1027" s="76"/>
      <c r="N1027" s="77"/>
      <c r="Q1027" s="78"/>
    </row>
    <row r="1028" ht="15" spans="1:17">
      <c r="A1028" s="75"/>
      <c r="F1028" s="76"/>
      <c r="G1028" s="76"/>
      <c r="H1028" s="76"/>
      <c r="I1028" s="76"/>
      <c r="J1028" s="76"/>
      <c r="K1028" s="76"/>
      <c r="L1028" s="76"/>
      <c r="M1028" s="76"/>
      <c r="N1028" s="77"/>
      <c r="Q1028" s="78"/>
    </row>
    <row r="1029" ht="15" spans="1:17">
      <c r="A1029" s="75"/>
      <c r="F1029" s="76"/>
      <c r="G1029" s="76"/>
      <c r="H1029" s="76"/>
      <c r="I1029" s="76"/>
      <c r="J1029" s="76"/>
      <c r="K1029" s="76"/>
      <c r="L1029" s="76"/>
      <c r="M1029" s="76"/>
      <c r="N1029" s="77"/>
      <c r="Q1029" s="78"/>
    </row>
    <row r="1030" ht="15" spans="1:17">
      <c r="A1030" s="75"/>
      <c r="F1030" s="76"/>
      <c r="G1030" s="76"/>
      <c r="H1030" s="76"/>
      <c r="I1030" s="76"/>
      <c r="J1030" s="76"/>
      <c r="K1030" s="76"/>
      <c r="L1030" s="76"/>
      <c r="M1030" s="76"/>
      <c r="N1030" s="77"/>
      <c r="Q1030" s="78"/>
    </row>
    <row r="1031" ht="15" spans="1:17">
      <c r="A1031" s="75"/>
      <c r="F1031" s="76"/>
      <c r="G1031" s="76"/>
      <c r="H1031" s="76"/>
      <c r="I1031" s="76"/>
      <c r="J1031" s="76"/>
      <c r="K1031" s="76"/>
      <c r="L1031" s="76"/>
      <c r="M1031" s="76"/>
      <c r="N1031" s="77"/>
      <c r="Q1031" s="78"/>
    </row>
    <row r="1032" ht="15" spans="1:17">
      <c r="A1032" s="75"/>
      <c r="F1032" s="76"/>
      <c r="G1032" s="76"/>
      <c r="H1032" s="76"/>
      <c r="I1032" s="76"/>
      <c r="J1032" s="76"/>
      <c r="K1032" s="76"/>
      <c r="L1032" s="76"/>
      <c r="M1032" s="76"/>
      <c r="N1032" s="77"/>
      <c r="Q1032" s="78"/>
    </row>
    <row r="1033" ht="15" spans="1:17">
      <c r="A1033" s="75"/>
      <c r="F1033" s="76"/>
      <c r="G1033" s="76"/>
      <c r="H1033" s="76"/>
      <c r="I1033" s="76"/>
      <c r="J1033" s="76"/>
      <c r="K1033" s="76"/>
      <c r="L1033" s="76"/>
      <c r="M1033" s="76"/>
      <c r="N1033" s="77"/>
      <c r="Q1033" s="78"/>
    </row>
    <row r="1034" ht="15" spans="1:17">
      <c r="A1034" s="75"/>
      <c r="F1034" s="76"/>
      <c r="G1034" s="76"/>
      <c r="H1034" s="76"/>
      <c r="I1034" s="76"/>
      <c r="J1034" s="76"/>
      <c r="K1034" s="76"/>
      <c r="L1034" s="76"/>
      <c r="M1034" s="76"/>
      <c r="N1034" s="77"/>
      <c r="Q1034" s="78"/>
    </row>
    <row r="1035" ht="15" spans="1:17">
      <c r="A1035" s="75"/>
      <c r="F1035" s="76"/>
      <c r="G1035" s="76"/>
      <c r="H1035" s="76"/>
      <c r="I1035" s="76"/>
      <c r="J1035" s="76"/>
      <c r="K1035" s="76"/>
      <c r="L1035" s="76"/>
      <c r="M1035" s="76"/>
      <c r="N1035" s="77"/>
      <c r="Q1035" s="78"/>
    </row>
    <row r="1036" ht="15" spans="1:17">
      <c r="A1036" s="75"/>
      <c r="F1036" s="76"/>
      <c r="G1036" s="76"/>
      <c r="H1036" s="76"/>
      <c r="I1036" s="76"/>
      <c r="J1036" s="76"/>
      <c r="K1036" s="76"/>
      <c r="L1036" s="76"/>
      <c r="M1036" s="76"/>
      <c r="N1036" s="77"/>
      <c r="Q1036" s="78"/>
    </row>
    <row r="1037" ht="15" spans="1:17">
      <c r="A1037" s="75"/>
      <c r="F1037" s="76"/>
      <c r="G1037" s="76"/>
      <c r="H1037" s="76"/>
      <c r="I1037" s="76"/>
      <c r="J1037" s="76"/>
      <c r="K1037" s="76"/>
      <c r="L1037" s="76"/>
      <c r="M1037" s="76"/>
      <c r="N1037" s="77"/>
      <c r="Q1037" s="78"/>
    </row>
    <row r="1038" ht="15" spans="1:17">
      <c r="A1038" s="75"/>
      <c r="F1038" s="76"/>
      <c r="G1038" s="76"/>
      <c r="H1038" s="76"/>
      <c r="I1038" s="76"/>
      <c r="J1038" s="76"/>
      <c r="K1038" s="76"/>
      <c r="L1038" s="76"/>
      <c r="M1038" s="76"/>
      <c r="N1038" s="77"/>
      <c r="Q1038" s="78"/>
    </row>
    <row r="1039" ht="15" spans="1:17">
      <c r="A1039" s="75"/>
      <c r="F1039" s="76"/>
      <c r="G1039" s="76"/>
      <c r="H1039" s="76"/>
      <c r="I1039" s="76"/>
      <c r="J1039" s="76"/>
      <c r="K1039" s="76"/>
      <c r="L1039" s="76"/>
      <c r="M1039" s="76"/>
      <c r="N1039" s="77"/>
      <c r="Q1039" s="78"/>
    </row>
    <row r="1040" ht="15" spans="1:17">
      <c r="A1040" s="75"/>
      <c r="F1040" s="76"/>
      <c r="G1040" s="76"/>
      <c r="H1040" s="76"/>
      <c r="I1040" s="76"/>
      <c r="J1040" s="76"/>
      <c r="K1040" s="76"/>
      <c r="L1040" s="76"/>
      <c r="M1040" s="76"/>
      <c r="N1040" s="77"/>
      <c r="Q1040" s="78"/>
    </row>
    <row r="1041" ht="15" spans="1:17">
      <c r="A1041" s="75"/>
      <c r="F1041" s="76"/>
      <c r="G1041" s="76"/>
      <c r="H1041" s="76"/>
      <c r="I1041" s="76"/>
      <c r="J1041" s="76"/>
      <c r="K1041" s="76"/>
      <c r="L1041" s="76"/>
      <c r="M1041" s="76"/>
      <c r="N1041" s="77"/>
      <c r="Q1041" s="78"/>
    </row>
    <row r="1042" ht="15" spans="1:17">
      <c r="A1042" s="75"/>
      <c r="F1042" s="76"/>
      <c r="G1042" s="76"/>
      <c r="H1042" s="76"/>
      <c r="I1042" s="76"/>
      <c r="J1042" s="76"/>
      <c r="K1042" s="76"/>
      <c r="L1042" s="76"/>
      <c r="M1042" s="76"/>
      <c r="N1042" s="77"/>
      <c r="Q1042" s="78"/>
    </row>
    <row r="1043" ht="15" spans="1:17">
      <c r="A1043" s="75"/>
      <c r="F1043" s="76"/>
      <c r="G1043" s="76"/>
      <c r="H1043" s="76"/>
      <c r="I1043" s="76"/>
      <c r="J1043" s="76"/>
      <c r="K1043" s="76"/>
      <c r="L1043" s="76"/>
      <c r="M1043" s="76"/>
      <c r="N1043" s="77"/>
      <c r="Q1043" s="78"/>
    </row>
    <row r="1044" ht="15" spans="1:17">
      <c r="A1044" s="75"/>
      <c r="F1044" s="76"/>
      <c r="G1044" s="76"/>
      <c r="H1044" s="76"/>
      <c r="I1044" s="76"/>
      <c r="J1044" s="76"/>
      <c r="K1044" s="76"/>
      <c r="L1044" s="76"/>
      <c r="M1044" s="76"/>
      <c r="N1044" s="77"/>
      <c r="Q1044" s="78"/>
    </row>
    <row r="1045" ht="15" spans="1:17">
      <c r="A1045" s="75"/>
      <c r="F1045" s="76"/>
      <c r="G1045" s="76"/>
      <c r="H1045" s="76"/>
      <c r="I1045" s="76"/>
      <c r="J1045" s="76"/>
      <c r="K1045" s="76"/>
      <c r="L1045" s="76"/>
      <c r="M1045" s="76"/>
      <c r="N1045" s="77"/>
      <c r="Q1045" s="78"/>
    </row>
    <row r="1046" ht="15" spans="1:17">
      <c r="A1046" s="75"/>
      <c r="F1046" s="76"/>
      <c r="G1046" s="76"/>
      <c r="H1046" s="76"/>
      <c r="I1046" s="76"/>
      <c r="J1046" s="76"/>
      <c r="K1046" s="76"/>
      <c r="L1046" s="76"/>
      <c r="M1046" s="76"/>
      <c r="N1046" s="77"/>
      <c r="Q1046" s="78"/>
    </row>
    <row r="1047" ht="15" spans="1:17">
      <c r="A1047" s="75"/>
      <c r="F1047" s="76"/>
      <c r="G1047" s="76"/>
      <c r="H1047" s="76"/>
      <c r="I1047" s="76"/>
      <c r="J1047" s="76"/>
      <c r="K1047" s="76"/>
      <c r="L1047" s="76"/>
      <c r="M1047" s="76"/>
      <c r="N1047" s="77"/>
      <c r="Q1047" s="78"/>
    </row>
    <row r="1048" ht="15" spans="1:17">
      <c r="A1048" s="75"/>
      <c r="F1048" s="76"/>
      <c r="G1048" s="76"/>
      <c r="H1048" s="76"/>
      <c r="I1048" s="76"/>
      <c r="J1048" s="76"/>
      <c r="K1048" s="76"/>
      <c r="L1048" s="76"/>
      <c r="M1048" s="76"/>
      <c r="N1048" s="77"/>
      <c r="Q1048" s="78"/>
    </row>
    <row r="1049" ht="15" spans="1:17">
      <c r="A1049" s="75"/>
      <c r="F1049" s="76"/>
      <c r="G1049" s="76"/>
      <c r="H1049" s="76"/>
      <c r="I1049" s="76"/>
      <c r="J1049" s="76"/>
      <c r="K1049" s="76"/>
      <c r="L1049" s="76"/>
      <c r="M1049" s="76"/>
      <c r="N1049" s="77"/>
      <c r="Q1049" s="78"/>
    </row>
    <row r="1050" ht="15" spans="1:17">
      <c r="A1050" s="75"/>
      <c r="F1050" s="76"/>
      <c r="G1050" s="76"/>
      <c r="H1050" s="76"/>
      <c r="I1050" s="76"/>
      <c r="J1050" s="76"/>
      <c r="K1050" s="76"/>
      <c r="L1050" s="76"/>
      <c r="M1050" s="76"/>
      <c r="N1050" s="77"/>
      <c r="Q1050" s="78"/>
    </row>
    <row r="1051" ht="15" spans="1:17">
      <c r="A1051" s="75"/>
      <c r="F1051" s="76"/>
      <c r="G1051" s="76"/>
      <c r="H1051" s="76"/>
      <c r="I1051" s="76"/>
      <c r="J1051" s="76"/>
      <c r="K1051" s="76"/>
      <c r="L1051" s="76"/>
      <c r="M1051" s="76"/>
      <c r="N1051" s="77"/>
      <c r="Q1051" s="78"/>
    </row>
    <row r="1052" ht="15" spans="1:17">
      <c r="A1052" s="75"/>
      <c r="F1052" s="76"/>
      <c r="G1052" s="76"/>
      <c r="H1052" s="76"/>
      <c r="I1052" s="76"/>
      <c r="J1052" s="76"/>
      <c r="K1052" s="76"/>
      <c r="L1052" s="76"/>
      <c r="M1052" s="76"/>
      <c r="N1052" s="77"/>
      <c r="Q1052" s="78"/>
    </row>
    <row r="1053" ht="15" spans="1:17">
      <c r="A1053" s="75"/>
      <c r="F1053" s="76"/>
      <c r="G1053" s="76"/>
      <c r="H1053" s="76"/>
      <c r="I1053" s="76"/>
      <c r="J1053" s="76"/>
      <c r="K1053" s="76"/>
      <c r="L1053" s="76"/>
      <c r="M1053" s="76"/>
      <c r="N1053" s="77"/>
      <c r="Q1053" s="78"/>
    </row>
    <row r="1054" ht="15" spans="1:17">
      <c r="A1054" s="75"/>
      <c r="F1054" s="76"/>
      <c r="G1054" s="76"/>
      <c r="H1054" s="76"/>
      <c r="I1054" s="76"/>
      <c r="J1054" s="76"/>
      <c r="K1054" s="76"/>
      <c r="L1054" s="76"/>
      <c r="M1054" s="76"/>
      <c r="N1054" s="77"/>
      <c r="Q1054" s="78"/>
    </row>
    <row r="1055" ht="15" spans="1:17">
      <c r="A1055" s="75"/>
      <c r="F1055" s="76"/>
      <c r="G1055" s="76"/>
      <c r="H1055" s="76"/>
      <c r="I1055" s="76"/>
      <c r="J1055" s="76"/>
      <c r="K1055" s="76"/>
      <c r="L1055" s="76"/>
      <c r="M1055" s="76"/>
      <c r="N1055" s="77"/>
      <c r="Q1055" s="78"/>
    </row>
    <row r="1056" ht="15" spans="1:17">
      <c r="A1056" s="75"/>
      <c r="F1056" s="76"/>
      <c r="G1056" s="76"/>
      <c r="H1056" s="76"/>
      <c r="I1056" s="76"/>
      <c r="J1056" s="76"/>
      <c r="K1056" s="76"/>
      <c r="L1056" s="76"/>
      <c r="M1056" s="76"/>
      <c r="N1056" s="77"/>
      <c r="Q1056" s="78"/>
    </row>
    <row r="1057" ht="15" spans="1:17">
      <c r="A1057" s="75"/>
      <c r="F1057" s="76"/>
      <c r="G1057" s="76"/>
      <c r="H1057" s="76"/>
      <c r="I1057" s="76"/>
      <c r="J1057" s="76"/>
      <c r="K1057" s="76"/>
      <c r="L1057" s="76"/>
      <c r="M1057" s="76"/>
      <c r="N1057" s="77"/>
      <c r="Q1057" s="78"/>
    </row>
    <row r="1058" ht="15" spans="1:17">
      <c r="A1058" s="75"/>
      <c r="F1058" s="76"/>
      <c r="G1058" s="76"/>
      <c r="H1058" s="76"/>
      <c r="I1058" s="76"/>
      <c r="J1058" s="76"/>
      <c r="K1058" s="76"/>
      <c r="L1058" s="76"/>
      <c r="M1058" s="76"/>
      <c r="N1058" s="77"/>
      <c r="Q1058" s="78"/>
    </row>
    <row r="1059" ht="15" spans="1:17">
      <c r="A1059" s="75"/>
      <c r="F1059" s="76"/>
      <c r="G1059" s="76"/>
      <c r="H1059" s="76"/>
      <c r="I1059" s="76"/>
      <c r="J1059" s="76"/>
      <c r="K1059" s="76"/>
      <c r="L1059" s="76"/>
      <c r="M1059" s="76"/>
      <c r="N1059" s="77"/>
      <c r="Q1059" s="78"/>
    </row>
    <row r="1060" ht="15" spans="1:17">
      <c r="A1060" s="75"/>
      <c r="F1060" s="76"/>
      <c r="G1060" s="76"/>
      <c r="H1060" s="76"/>
      <c r="I1060" s="76"/>
      <c r="J1060" s="76"/>
      <c r="K1060" s="76"/>
      <c r="L1060" s="76"/>
      <c r="M1060" s="76"/>
      <c r="N1060" s="77"/>
      <c r="Q1060" s="78"/>
    </row>
    <row r="1061" ht="15" spans="1:17">
      <c r="A1061" s="75"/>
      <c r="F1061" s="76"/>
      <c r="G1061" s="76"/>
      <c r="H1061" s="76"/>
      <c r="I1061" s="76"/>
      <c r="J1061" s="76"/>
      <c r="K1061" s="76"/>
      <c r="L1061" s="76"/>
      <c r="M1061" s="76"/>
      <c r="N1061" s="77"/>
      <c r="Q1061" s="78"/>
    </row>
    <row r="1062" ht="15" spans="1:17">
      <c r="A1062" s="75"/>
      <c r="F1062" s="76"/>
      <c r="G1062" s="76"/>
      <c r="H1062" s="76"/>
      <c r="I1062" s="76"/>
      <c r="J1062" s="76"/>
      <c r="K1062" s="76"/>
      <c r="L1062" s="76"/>
      <c r="M1062" s="76"/>
      <c r="N1062" s="77"/>
      <c r="Q1062" s="78"/>
    </row>
    <row r="1063" ht="15" spans="1:17">
      <c r="A1063" s="75"/>
      <c r="F1063" s="76"/>
      <c r="G1063" s="76"/>
      <c r="H1063" s="76"/>
      <c r="I1063" s="76"/>
      <c r="J1063" s="76"/>
      <c r="K1063" s="76"/>
      <c r="L1063" s="76"/>
      <c r="M1063" s="76"/>
      <c r="N1063" s="77"/>
      <c r="Q1063" s="78"/>
    </row>
    <row r="1064" ht="15" spans="1:17">
      <c r="A1064" s="75"/>
      <c r="F1064" s="76"/>
      <c r="G1064" s="76"/>
      <c r="H1064" s="76"/>
      <c r="I1064" s="76"/>
      <c r="J1064" s="76"/>
      <c r="K1064" s="76"/>
      <c r="L1064" s="76"/>
      <c r="M1064" s="76"/>
      <c r="N1064" s="77"/>
      <c r="Q1064" s="78"/>
    </row>
    <row r="1065" ht="15" spans="1:17">
      <c r="A1065" s="75"/>
      <c r="F1065" s="76"/>
      <c r="G1065" s="76"/>
      <c r="H1065" s="76"/>
      <c r="I1065" s="76"/>
      <c r="J1065" s="76"/>
      <c r="K1065" s="76"/>
      <c r="L1065" s="76"/>
      <c r="M1065" s="76"/>
      <c r="N1065" s="77"/>
      <c r="Q1065" s="78"/>
    </row>
    <row r="1066" ht="15" spans="1:17">
      <c r="A1066" s="75"/>
      <c r="F1066" s="76"/>
      <c r="G1066" s="76"/>
      <c r="H1066" s="76"/>
      <c r="I1066" s="76"/>
      <c r="J1066" s="76"/>
      <c r="K1066" s="76"/>
      <c r="L1066" s="76"/>
      <c r="M1066" s="76"/>
      <c r="N1066" s="77"/>
      <c r="Q1066" s="78"/>
    </row>
    <row r="1067" ht="15" spans="1:17">
      <c r="A1067" s="75"/>
      <c r="F1067" s="76"/>
      <c r="G1067" s="76"/>
      <c r="H1067" s="76"/>
      <c r="I1067" s="76"/>
      <c r="J1067" s="76"/>
      <c r="K1067" s="76"/>
      <c r="L1067" s="76"/>
      <c r="M1067" s="76"/>
      <c r="N1067" s="77"/>
      <c r="Q1067" s="78"/>
    </row>
    <row r="1068" ht="15" spans="1:17">
      <c r="A1068" s="75"/>
      <c r="F1068" s="76"/>
      <c r="G1068" s="76"/>
      <c r="H1068" s="76"/>
      <c r="I1068" s="76"/>
      <c r="J1068" s="76"/>
      <c r="K1068" s="76"/>
      <c r="L1068" s="76"/>
      <c r="M1068" s="76"/>
      <c r="N1068" s="77"/>
      <c r="Q1068" s="78"/>
    </row>
    <row r="1069" ht="15" spans="1:17">
      <c r="A1069" s="75"/>
      <c r="F1069" s="76"/>
      <c r="G1069" s="76"/>
      <c r="H1069" s="76"/>
      <c r="I1069" s="76"/>
      <c r="J1069" s="76"/>
      <c r="K1069" s="76"/>
      <c r="L1069" s="76"/>
      <c r="M1069" s="76"/>
      <c r="N1069" s="77"/>
      <c r="Q1069" s="78"/>
    </row>
    <row r="1070" ht="15" spans="1:17">
      <c r="A1070" s="75"/>
      <c r="F1070" s="76"/>
      <c r="G1070" s="76"/>
      <c r="H1070" s="76"/>
      <c r="I1070" s="76"/>
      <c r="J1070" s="76"/>
      <c r="K1070" s="76"/>
      <c r="L1070" s="76"/>
      <c r="M1070" s="76"/>
      <c r="N1070" s="77"/>
      <c r="Q1070" s="78"/>
    </row>
    <row r="1071" ht="15" spans="1:17">
      <c r="A1071" s="75"/>
      <c r="F1071" s="76"/>
      <c r="G1071" s="76"/>
      <c r="H1071" s="76"/>
      <c r="I1071" s="76"/>
      <c r="J1071" s="76"/>
      <c r="K1071" s="76"/>
      <c r="L1071" s="76"/>
      <c r="M1071" s="76"/>
      <c r="N1071" s="77"/>
      <c r="Q1071" s="78"/>
    </row>
    <row r="1072" ht="15" spans="1:17">
      <c r="A1072" s="75"/>
      <c r="F1072" s="76"/>
      <c r="G1072" s="76"/>
      <c r="H1072" s="76"/>
      <c r="I1072" s="76"/>
      <c r="J1072" s="76"/>
      <c r="K1072" s="76"/>
      <c r="L1072" s="76"/>
      <c r="M1072" s="76"/>
      <c r="N1072" s="77"/>
      <c r="Q1072" s="78"/>
    </row>
    <row r="1073" ht="15" spans="1:17">
      <c r="A1073" s="75"/>
      <c r="F1073" s="76"/>
      <c r="G1073" s="76"/>
      <c r="H1073" s="76"/>
      <c r="I1073" s="76"/>
      <c r="J1073" s="76"/>
      <c r="K1073" s="76"/>
      <c r="L1073" s="76"/>
      <c r="M1073" s="76"/>
      <c r="N1073" s="77"/>
      <c r="Q1073" s="78"/>
    </row>
    <row r="1074" ht="15" spans="1:17">
      <c r="A1074" s="75"/>
      <c r="F1074" s="76"/>
      <c r="G1074" s="76"/>
      <c r="H1074" s="76"/>
      <c r="I1074" s="76"/>
      <c r="J1074" s="76"/>
      <c r="K1074" s="76"/>
      <c r="L1074" s="76"/>
      <c r="M1074" s="76"/>
      <c r="N1074" s="77"/>
      <c r="Q1074" s="78"/>
    </row>
    <row r="1075" ht="15" spans="1:17">
      <c r="A1075" s="75"/>
      <c r="F1075" s="76"/>
      <c r="G1075" s="76"/>
      <c r="H1075" s="76"/>
      <c r="I1075" s="76"/>
      <c r="J1075" s="76"/>
      <c r="K1075" s="76"/>
      <c r="L1075" s="76"/>
      <c r="M1075" s="76"/>
      <c r="N1075" s="77"/>
      <c r="Q1075" s="78"/>
    </row>
    <row r="1076" ht="15" spans="1:17">
      <c r="A1076" s="75"/>
      <c r="F1076" s="76"/>
      <c r="G1076" s="76"/>
      <c r="H1076" s="76"/>
      <c r="I1076" s="76"/>
      <c r="J1076" s="76"/>
      <c r="K1076" s="76"/>
      <c r="L1076" s="76"/>
      <c r="M1076" s="76"/>
      <c r="N1076" s="77"/>
      <c r="Q1076" s="78"/>
    </row>
    <row r="1077" ht="15" spans="1:17">
      <c r="A1077" s="75"/>
      <c r="F1077" s="76"/>
      <c r="G1077" s="76"/>
      <c r="H1077" s="76"/>
      <c r="I1077" s="76"/>
      <c r="J1077" s="76"/>
      <c r="K1077" s="76"/>
      <c r="L1077" s="76"/>
      <c r="M1077" s="76"/>
      <c r="N1077" s="77"/>
      <c r="Q1077" s="78"/>
    </row>
    <row r="1078" ht="15" spans="1:17">
      <c r="A1078" s="75"/>
      <c r="F1078" s="76"/>
      <c r="G1078" s="76"/>
      <c r="H1078" s="76"/>
      <c r="I1078" s="76"/>
      <c r="J1078" s="76"/>
      <c r="K1078" s="76"/>
      <c r="L1078" s="76"/>
      <c r="M1078" s="76"/>
      <c r="N1078" s="77"/>
      <c r="Q1078" s="78"/>
    </row>
    <row r="1079" ht="15" spans="1:17">
      <c r="A1079" s="75"/>
      <c r="F1079" s="76"/>
      <c r="G1079" s="76"/>
      <c r="H1079" s="76"/>
      <c r="I1079" s="76"/>
      <c r="J1079" s="76"/>
      <c r="K1079" s="76"/>
      <c r="L1079" s="76"/>
      <c r="M1079" s="76"/>
      <c r="N1079" s="77"/>
      <c r="Q1079" s="78"/>
    </row>
    <row r="1080" ht="15" spans="1:17">
      <c r="A1080" s="75"/>
      <c r="F1080" s="76"/>
      <c r="G1080" s="76"/>
      <c r="H1080" s="76"/>
      <c r="I1080" s="76"/>
      <c r="J1080" s="76"/>
      <c r="K1080" s="76"/>
      <c r="L1080" s="76"/>
      <c r="M1080" s="76"/>
      <c r="N1080" s="77"/>
      <c r="Q1080" s="78"/>
    </row>
    <row r="1081" ht="15" spans="1:17">
      <c r="A1081" s="75"/>
      <c r="F1081" s="76"/>
      <c r="G1081" s="76"/>
      <c r="H1081" s="76"/>
      <c r="I1081" s="76"/>
      <c r="J1081" s="76"/>
      <c r="K1081" s="76"/>
      <c r="L1081" s="76"/>
      <c r="M1081" s="76"/>
      <c r="N1081" s="77"/>
      <c r="Q1081" s="78"/>
    </row>
    <row r="1082" ht="15" spans="1:17">
      <c r="A1082" s="75"/>
      <c r="F1082" s="76"/>
      <c r="G1082" s="76"/>
      <c r="H1082" s="76"/>
      <c r="I1082" s="76"/>
      <c r="J1082" s="76"/>
      <c r="K1082" s="76"/>
      <c r="L1082" s="76"/>
      <c r="M1082" s="76"/>
      <c r="N1082" s="77"/>
      <c r="Q1082" s="78"/>
    </row>
    <row r="1083" ht="15" spans="1:17">
      <c r="A1083" s="75"/>
      <c r="F1083" s="76"/>
      <c r="G1083" s="76"/>
      <c r="H1083" s="76"/>
      <c r="I1083" s="76"/>
      <c r="J1083" s="76"/>
      <c r="K1083" s="76"/>
      <c r="L1083" s="76"/>
      <c r="M1083" s="76"/>
      <c r="N1083" s="77"/>
      <c r="Q1083" s="78"/>
    </row>
    <row r="1084" ht="15" spans="1:17">
      <c r="A1084" s="75"/>
      <c r="F1084" s="76"/>
      <c r="G1084" s="76"/>
      <c r="H1084" s="76"/>
      <c r="I1084" s="76"/>
      <c r="J1084" s="76"/>
      <c r="K1084" s="76"/>
      <c r="L1084" s="76"/>
      <c r="M1084" s="76"/>
      <c r="N1084" s="77"/>
      <c r="Q1084" s="78"/>
    </row>
    <row r="1085" ht="15" spans="1:17">
      <c r="A1085" s="75"/>
      <c r="F1085" s="76"/>
      <c r="G1085" s="76"/>
      <c r="H1085" s="76"/>
      <c r="I1085" s="76"/>
      <c r="J1085" s="76"/>
      <c r="K1085" s="76"/>
      <c r="L1085" s="76"/>
      <c r="M1085" s="76"/>
      <c r="N1085" s="77"/>
      <c r="Q1085" s="78"/>
    </row>
    <row r="1086" ht="15" spans="1:17">
      <c r="A1086" s="75"/>
      <c r="F1086" s="76"/>
      <c r="G1086" s="76"/>
      <c r="H1086" s="76"/>
      <c r="I1086" s="76"/>
      <c r="J1086" s="76"/>
      <c r="K1086" s="76"/>
      <c r="L1086" s="76"/>
      <c r="M1086" s="76"/>
      <c r="N1086" s="77"/>
      <c r="Q1086" s="78"/>
    </row>
    <row r="1087" ht="15" spans="1:17">
      <c r="A1087" s="75"/>
      <c r="F1087" s="76"/>
      <c r="G1087" s="76"/>
      <c r="H1087" s="76"/>
      <c r="I1087" s="76"/>
      <c r="J1087" s="76"/>
      <c r="K1087" s="76"/>
      <c r="L1087" s="76"/>
      <c r="M1087" s="76"/>
      <c r="N1087" s="77"/>
      <c r="Q1087" s="78"/>
    </row>
    <row r="1088" ht="15" spans="1:17">
      <c r="A1088" s="75"/>
      <c r="F1088" s="76"/>
      <c r="G1088" s="76"/>
      <c r="H1088" s="76"/>
      <c r="I1088" s="76"/>
      <c r="J1088" s="76"/>
      <c r="K1088" s="76"/>
      <c r="L1088" s="76"/>
      <c r="M1088" s="76"/>
      <c r="N1088" s="77"/>
      <c r="Q1088" s="78"/>
    </row>
    <row r="1089" ht="15" spans="1:17">
      <c r="A1089" s="75"/>
      <c r="F1089" s="76"/>
      <c r="G1089" s="76"/>
      <c r="H1089" s="76"/>
      <c r="I1089" s="76"/>
      <c r="J1089" s="76"/>
      <c r="K1089" s="76"/>
      <c r="L1089" s="76"/>
      <c r="M1089" s="76"/>
      <c r="N1089" s="77"/>
      <c r="Q1089" s="78"/>
    </row>
    <row r="1090" ht="15" spans="1:17">
      <c r="A1090" s="75"/>
      <c r="F1090" s="76"/>
      <c r="G1090" s="76"/>
      <c r="H1090" s="76"/>
      <c r="I1090" s="76"/>
      <c r="J1090" s="76"/>
      <c r="K1090" s="76"/>
      <c r="L1090" s="76"/>
      <c r="M1090" s="76"/>
      <c r="N1090" s="77"/>
      <c r="Q1090" s="78"/>
    </row>
    <row r="1091" ht="15" spans="1:17">
      <c r="A1091" s="75"/>
      <c r="F1091" s="76"/>
      <c r="G1091" s="76"/>
      <c r="H1091" s="76"/>
      <c r="I1091" s="76"/>
      <c r="J1091" s="76"/>
      <c r="K1091" s="76"/>
      <c r="L1091" s="76"/>
      <c r="M1091" s="76"/>
      <c r="N1091" s="77"/>
      <c r="Q1091" s="78"/>
    </row>
    <row r="1092" ht="15" spans="1:17">
      <c r="A1092" s="75"/>
      <c r="F1092" s="76"/>
      <c r="G1092" s="76"/>
      <c r="H1092" s="76"/>
      <c r="I1092" s="76"/>
      <c r="J1092" s="76"/>
      <c r="K1092" s="76"/>
      <c r="L1092" s="76"/>
      <c r="M1092" s="76"/>
      <c r="N1092" s="77"/>
      <c r="Q1092" s="78"/>
    </row>
    <row r="1093" ht="15" spans="1:17">
      <c r="A1093" s="75"/>
      <c r="F1093" s="76"/>
      <c r="G1093" s="76"/>
      <c r="H1093" s="76"/>
      <c r="I1093" s="76"/>
      <c r="J1093" s="76"/>
      <c r="K1093" s="76"/>
      <c r="L1093" s="76"/>
      <c r="M1093" s="76"/>
      <c r="N1093" s="77"/>
      <c r="Q1093" s="78"/>
    </row>
    <row r="1094" ht="15" spans="1:17">
      <c r="A1094" s="75"/>
      <c r="F1094" s="76"/>
      <c r="G1094" s="76"/>
      <c r="H1094" s="76"/>
      <c r="I1094" s="76"/>
      <c r="J1094" s="76"/>
      <c r="K1094" s="76"/>
      <c r="L1094" s="76"/>
      <c r="M1094" s="76"/>
      <c r="N1094" s="77"/>
      <c r="Q1094" s="78"/>
    </row>
    <row r="1095" ht="15" spans="1:17">
      <c r="A1095" s="75"/>
      <c r="F1095" s="76"/>
      <c r="G1095" s="76"/>
      <c r="H1095" s="76"/>
      <c r="I1095" s="76"/>
      <c r="J1095" s="76"/>
      <c r="K1095" s="76"/>
      <c r="L1095" s="76"/>
      <c r="M1095" s="76"/>
      <c r="N1095" s="77"/>
      <c r="Q1095" s="78"/>
    </row>
    <row r="1096" ht="15" spans="1:17">
      <c r="A1096" s="75"/>
      <c r="F1096" s="76"/>
      <c r="G1096" s="76"/>
      <c r="H1096" s="76"/>
      <c r="I1096" s="76"/>
      <c r="J1096" s="76"/>
      <c r="K1096" s="76"/>
      <c r="L1096" s="76"/>
      <c r="M1096" s="76"/>
      <c r="N1096" s="77"/>
      <c r="Q1096" s="78"/>
    </row>
    <row r="1097" ht="15" spans="1:17">
      <c r="A1097" s="75"/>
      <c r="F1097" s="76"/>
      <c r="G1097" s="76"/>
      <c r="H1097" s="76"/>
      <c r="I1097" s="76"/>
      <c r="J1097" s="76"/>
      <c r="K1097" s="76"/>
      <c r="L1097" s="76"/>
      <c r="M1097" s="76"/>
      <c r="N1097" s="77"/>
      <c r="Q1097" s="78"/>
    </row>
    <row r="1098" ht="12.75" customHeight="1"/>
  </sheetData>
  <conditionalFormatting sqref="A2:S69 B70:B71 E70:S71 B72:B75 E72:S75 B76:B80 E76:S80 B81 E81:S81 B82:B86 E82:F86 I82:J86 L82:S86 B87 E87:F87 I87:J87 L87:S87 B88 E88:F88 I88:J88 L88:S88 B89:B90 E89:F90 I89:J90 L89:S90 B91 E91:F91 I91:J91 L91:S91 B92:B98 E92:F98 I92:J98 L92:S98 B99:B100 E99:F100 I99:J100 L99:S100 B101 E101:F101 I101:J101 L101:S101 B102:B103 E102:F103 I102:J103 L102:S103 B104 E104:F104 I104:J104 L104:S104 B105 E105:F105 I105:J105 L105:S105 B106 E106:F106 I106:J106 L106:S106 B107 E107:F107 I107:J107 L107:S107 B108:B109 E108:F109 I108:J109 L108:S109 B110 E110:F110 I110:J110 L110:S110 B111 E111:F111 I111:J111 L111:S111 B112:B118 E112:F118 I112:J118 L112:S118 B119:B121 E119:F121 I119:J121 L119:S121 B122 E122:F122 I122:J122 L122:S122 B123 E123:F123 I123:J123 L123:S123 B124:B125 E124:F125 I124:J125 L124:S125 B126 E126:F126 I126:J126 L126:S126 B127 E127:S127 B128:B131 E128:F131 I128:J131 L128:S131 B132 E132:F132 I132:T132 B133:B134 E133:F134 I133:J134 L133:S134 B135 E135:F135 I135:J135 L135:S135 B136:B139 E136:F139 I136:J139 L136:S139 B140:B143 E140:F143 I140:J143 L140:S143 B144 E144:F144 I144:J144 L144:S144 B145:B150 E145:F150 I145:J150 L145:S150 B151:B160 E151:F160 B161:B166 E161:F166 B167:B173 E167:F173 B174 E174:F174">
    <cfRule type="containsText" dxfId="1" priority="1" operator="between" text="Disponible">
      <formula>NOT(ISERROR(SEARCH("Disponible",A2)))</formula>
    </cfRule>
  </conditionalFormatting>
  <conditionalFormatting sqref="E2:E36 E37:F37 E38:E131 E132:F132 E133:E174">
    <cfRule type="containsText" dxfId="2" priority="3" operator="between" text="Apartado">
      <formula>NOT(ISERROR(SEARCH("Apartado",E2)))</formula>
    </cfRule>
    <cfRule type="containsText" dxfId="3" priority="2" operator="between" text="Vendido">
      <formula>NOT(ISERROR(SEARCH("Vendido",E2)))</formula>
    </cfRule>
  </conditionalFormatting>
  <dataValidations count="4">
    <dataValidation type="custom" allowBlank="1" sqref="A5 K5:M5 A24 K24:M24 A38 K38:M38 A39 K39:M39 A40 K40:M40 A43 K43:M43 A49 K49:M49 A50 K50:M50 A51 K51:M51 A64 K64:M64 A65 K65:M65 A68 K68:M68 A69 K69:M69 A81 K81:M81 A87 K87:M87 A88 K88:M88 A91 K91:M91 A101 K101:M101 A104 K104:M104 A105 K105:M105 A106 K106:M106 A107 K107:M107 A110 K110:M110 A111 K111:M111 A122 K122:M122 A123 K123:M123 A126 K126:M126 A127 K127:M127 A132 K132:M132 A135 K135:M135 A144 K144:M144 A2:A4 A6:A14 A15:A18 A19:A23 A25:A27 A28:A30 A31:A32 A33:A34 A35:A37 A41:A42 A44:A45 A46:A48 A52:A54 A55:A58 A59:A63 A66:A67 A70:A71 A72:A75 A76:A80 A82:A86 A89:A90 A92:A98 A99:A100 A102:A103 A108:A109 A112:A118 A119:A121 A124:A125 A128:A131 A133:A134 A136:A139 A140:A143 A145:A150 A151:A160 A161:A166 A167:A173 K167:M173 K161:M166 K151:M160 K145:M150 K72:M75 K128:M131 K136:M139 K140:M143 K31:M32 K33:M34 K41:M42 K89:M90 K99:M100 K133:M134 K44:M45 K66:M67 K70:M71 K102:M103 K108:M109 K124:M125 K2:M4 K35:M37 K119:M121 K112:M118 K92:M98 K82:M86 K76:M80 K19:M23 K59:M63 K15:M18 K55:M58 K25:M27 K28:M30 K46:M48 K52:M54 K6:M14">
      <formula1>AND(ISNUMBER(A2),(NOT(OR(NOT(ISERROR(DATEVALUE(A2))),AND(ISNUMBER(A2),LEFT(CELL("format",A2))="D")))))</formula1>
    </dataValidation>
    <dataValidation type="list" allowBlank="1" sqref="C5 E5:F5 C24 E24:F24 C38 E38:F38 C39 E39:F39 C40 E40:F40 C43 E43:F43 C49 E49:F49 C50 E50:F50 C51 E51:F51 C64 E64:F64 C65 E65:F65 C68 E68:F68 C69 E69:F69 C81 E81:F81 C87 E87:F87 C88 E88:F88 C91 E91:F91 C101 E101:F101 C104 E104:F104 C105 E105:F105 C106 E106:F106 C107 E107:F107 C110 E110:F110 C111 E111:F111 C122 E122:F122 C123 E123:F123 C126 E126:F126 C127 E127:F127 C132 E132:F132 C135 E135:F135 C144 E144:F144 C2:C4 C6:C14 C15:C18 C19:C23 C25:C27 C28:C30 C31:C32 C33:C34 C35:C37 C41:C42 C44:C45 C46:C48 C52:C54 C55:C58 C59:C63 C66:C67 C70:C71 C72:C75 C76:C80 C82:C86 C89:C90 C92:C98 C99:C100 C102:C103 C108:C109 C112:C118 C119:C121 C124:C125 C128:C131 C133:C134 C136:C139 C140:C143 C145:C150 C151:C160 C161:C166 C167:C173 E2:F4 E35:F37 E119:F121 E6:F14 E15:F18 E55:F58 E19:F23 E59:F63 E25:F27 E28:F30 E46:F48 E52:F54 E31:F32 E33:F34 E41:F42 E89:F90 E99:F100 E133:F134 E44:F45 E66:F67 E70:F71 E102:F103 E108:F109 E124:F125 E72:F75 E128:F131 E136:F139 E140:F143 E76:F80 E82:F86 E92:F98 E112:F118 E145:F150 E151:F160 E161:F166 E167:F173">
      <formula1>#REF!</formula1>
    </dataValidation>
    <dataValidation type="list" allowBlank="1" showErrorMessage="1" sqref="D5 Q5:S5 D24 Q24:S24 D38 Q38:S38 D39 Q39:S39 D40 Q40:S40 D43 Q43:S43 D49 Q49:S49 D50 Q50:S50 D51 Q51:S51 D64 Q64:S64 D65 Q65:S65 D68 Q68:S68 D69 Q69:S69 D81 Q81:S81 D87 Q87:S87 D88 Q88:S88 D91 Q91:S91 D101 Q101:S101 D104 Q104:S104 D105 Q105:S105 D106 Q106:S106 D107 Q107:S107 D110 Q110:S110 D111 Q111:S111 D122 Q122:S122 D123 Q123:S123 D126 Q126:S126 D127 Q127:S127 D132 Q132:S132 D135 Q135:S135 D144 Q144:S144 D2:D4 D6:D14 D15:D18 D19:D23 D25:D27 D28:D30 D31:D32 D33:D34 D35:D37 D41:D42 D44:D45 D46:D48 D52:D54 D55:D58 D59:D63 D66:D67 D70:D71 D72:D75 D76:D80 D82:D86 D89:D90 D92:D98 D99:D100 D102:D103 D108:D109 D112:D118 D119:D121 D124:D125 D128:D131 D133:D134 D136:D139 D140:D143 D145:D150 D151:D160 D161:D166 D167:D173 Q167:S173 Q161:S166 Q151:S160 Q145:S150 Q72:S75 Q128:S131 Q136:S139 Q140:S143 Q31:S32 Q33:S34 Q41:S42 Q89:S90 Q99:S100 Q133:S134 Q44:S45 Q66:S67 Q70:S71 Q102:S103 Q108:S109 Q124:S125 Q2:S4 Q35:S37 Q119:S121 Q112:S118 Q92:S98 Q82:S86 Q76:S80 Q19:S23 Q59:S63 Q15:S18 Q55:S58 Q25:S27 Q28:S30 Q46:S48 Q52:S54 Q6:S14">
      <formula1>#REF!</formula1>
    </dataValidation>
    <dataValidation type="custom" allowBlank="1" sqref="N5 T5 N24 T24 N38 T38 N39 T39 N40 T40 N43 T43 N49 T49 N50 T50 N51 T51 N64 T64 N65 T65 N68 T68 N69 T69 N81 T81 N87 T87 N88 T88 N91 T91 N101 T101 N104 T104 N105 T105 N106 T106 N107 T107 N110 T110 N111 T111 N122 T122 N123 T123 N126 T126 N127 T127 N132 T132 N135 T135 N144 T144 N2:N4 N6:N14 N15:N18 N19:N23 N25:N27 N28:N30 N31:N32 N33:N34 N35:N37 N41:N42 N44:N45 N46:N48 N52:N54 N55:N58 N59:N63 N66:N67 N70:N71 N72:N75 N76:N80 N82:N86 N89:N90 N92:N98 N99:N100 N102:N103 N108:N109 N112:N118 N119:N121 N124:N125 N128:N131 N133:N134 N136:N139 N140:N143 N145:N150 N151:N160 N161:N166 N167:N173 T2:T4 T6:T14 T15:T18 T19:T23 T25:T27 T28:T30 T31:T32 T33:T34 T35:T37 T41:T42 T44:T45 T46:T48 T52:T54 T55:T58 T59:T63 T66:T67 T70:T71 T72:T75 T76:T80 T82:T86 T89:T90 T92:T98 T99:T100 T102:T103 T108:T109 T112:T118 T119:T121 T124:T125 T128:T131 T133:T134 T136:T139 T140:T143 T145:T150 T151:T160 T161:T166 T167:T173">
      <formula1>OR(NOT(ISERROR(DATEVALUE(N2))),AND(ISNUMBER(N2),LEFT(CELL("format",N2))="D"))</formula1>
    </dataValidation>
  </dataValidations>
  <pageMargins left="0.75" right="0.75" top="1" bottom="1" header="0.5" footer="0.5"/>
  <headerFooter/>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Inventario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Hector</dc:creator>
  <cp:lastModifiedBy>jose hector ricardez cruz</cp:lastModifiedBy>
  <dcterms:created xsi:type="dcterms:W3CDTF">2026-05-19T22:49:39Z</dcterms:created>
  <dcterms:modified xsi:type="dcterms:W3CDTF">2026-05-19T23:17:55Z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F0C911F87DD44EA1ABBB0FAD62EDDC52_11</vt:lpwstr>
  </property>
  <property fmtid="{D5CDD505-2E9C-101B-9397-08002B2CF9AE}" pid="3" name="KSOProductBuildVer">
    <vt:lpwstr>2058-12.1.0.26372</vt:lpwstr>
  </property>
  <property fmtid="{D5CDD505-2E9C-101B-9397-08002B2CF9AE}" pid="4" name="CalculationRule">
    <vt:i4>1</vt:i4>
  </property>
</Properties>
</file>